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oxl\PycharmProjects\nomad_voila\apps\LCC_Calculator\"/>
    </mc:Choice>
  </mc:AlternateContent>
  <xr:revisionPtr revIDLastSave="0" documentId="13_ncr:1_{37784868-FC9D-4C97-812A-AB8E8C3E6C86}" xr6:coauthVersionLast="47" xr6:coauthVersionMax="47" xr10:uidLastSave="{00000000-0000-0000-0000-000000000000}"/>
  <bookViews>
    <workbookView xWindow="-23940" yWindow="1695" windowWidth="21600" windowHeight="11235" activeTab="1" xr2:uid="{00000000-000D-0000-FFFF-FFFF00000000}"/>
  </bookViews>
  <sheets>
    <sheet name="Guide" sheetId="1" r:id="rId1"/>
    <sheet name="Materials" sheetId="2" r:id="rId2"/>
    <sheet name="Processes" sheetId="3" r:id="rId3"/>
    <sheet name="Labor" sheetId="4" r:id="rId4"/>
    <sheet name="Capital_Overhead_Disposal"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9" i="2" l="1"/>
  <c r="E164" i="2"/>
  <c r="E161" i="2"/>
  <c r="E157" i="2"/>
  <c r="E166" i="2"/>
  <c r="E137" i="2"/>
  <c r="E123" i="2"/>
  <c r="E115" i="2"/>
  <c r="E99" i="2"/>
  <c r="E98" i="2"/>
  <c r="E93" i="2"/>
  <c r="E70" i="2"/>
  <c r="E57" i="2"/>
  <c r="E56" i="2"/>
  <c r="E28" i="2"/>
  <c r="E5" i="2"/>
  <c r="E4" i="2"/>
  <c r="E206" i="2"/>
  <c r="E205" i="2"/>
  <c r="E204" i="2"/>
  <c r="E203" i="2"/>
  <c r="E202" i="2"/>
  <c r="E201" i="2"/>
  <c r="E200" i="2"/>
  <c r="E199" i="2"/>
  <c r="E198" i="2"/>
  <c r="E197" i="2"/>
  <c r="E196" i="2"/>
  <c r="E195" i="2"/>
  <c r="E194" i="2"/>
  <c r="E193" i="2"/>
  <c r="E192" i="2"/>
  <c r="E191" i="2"/>
  <c r="E190" i="2"/>
  <c r="E188" i="2"/>
  <c r="E187" i="2"/>
  <c r="E186" i="2"/>
  <c r="E185" i="2"/>
  <c r="E184" i="2"/>
  <c r="E182" i="2"/>
  <c r="E181" i="2"/>
  <c r="E180" i="2"/>
  <c r="E179" i="2"/>
  <c r="E178" i="2"/>
  <c r="E183" i="2"/>
  <c r="E177" i="2"/>
  <c r="E176" i="2"/>
  <c r="E175" i="2"/>
  <c r="E174" i="2"/>
  <c r="E173" i="2"/>
  <c r="E172" i="2"/>
  <c r="E168" i="2"/>
  <c r="E167" i="2"/>
  <c r="E163" i="2"/>
  <c r="E159" i="2"/>
  <c r="E158" i="2"/>
  <c r="E146" i="2"/>
  <c r="E145" i="2"/>
  <c r="E144" i="2"/>
  <c r="E143" i="2"/>
  <c r="E142" i="2"/>
  <c r="E141" i="2"/>
  <c r="E140" i="2"/>
  <c r="E171" i="2"/>
  <c r="E170" i="2"/>
  <c r="E169" i="2"/>
  <c r="E165" i="2"/>
  <c r="E162" i="2"/>
  <c r="E160" i="2"/>
  <c r="E156" i="2"/>
  <c r="E155" i="2"/>
  <c r="E154" i="2"/>
  <c r="E153" i="2"/>
  <c r="E152" i="2"/>
  <c r="E151" i="2"/>
  <c r="E150" i="2"/>
  <c r="E149" i="2"/>
  <c r="E148" i="2"/>
  <c r="E147" i="2"/>
  <c r="E139" i="2"/>
  <c r="E138" i="2"/>
  <c r="E136" i="2"/>
  <c r="E132" i="2"/>
  <c r="E134" i="2"/>
  <c r="E133" i="2"/>
  <c r="E135" i="2"/>
  <c r="E127" i="2"/>
  <c r="E126" i="2"/>
  <c r="E125" i="2"/>
  <c r="E124" i="2"/>
  <c r="E121" i="2"/>
  <c r="E119" i="2"/>
  <c r="E122" i="2"/>
  <c r="E120" i="2"/>
  <c r="E118" i="2"/>
  <c r="E117" i="2"/>
  <c r="E116" i="2"/>
  <c r="E131" i="2"/>
  <c r="E130" i="2"/>
  <c r="E129" i="2"/>
  <c r="E128" i="2"/>
  <c r="E114" i="2"/>
  <c r="E113" i="2"/>
  <c r="E112" i="2"/>
  <c r="E111" i="2"/>
  <c r="E110" i="2"/>
  <c r="E109" i="2"/>
  <c r="E107" i="2"/>
  <c r="E108" i="2"/>
  <c r="E106" i="2"/>
  <c r="E105" i="2"/>
  <c r="E104" i="2"/>
  <c r="E103" i="2"/>
  <c r="E102" i="2"/>
  <c r="E100" i="2"/>
  <c r="E101" i="2"/>
  <c r="E97" i="2"/>
  <c r="E96" i="2"/>
  <c r="E95" i="2"/>
  <c r="E94" i="2"/>
  <c r="E92" i="2"/>
  <c r="E90" i="2"/>
  <c r="E88" i="2"/>
  <c r="E87" i="2"/>
  <c r="E85" i="2"/>
  <c r="E84" i="2"/>
  <c r="E86" i="2"/>
  <c r="E91" i="2"/>
  <c r="E89" i="2"/>
  <c r="E83" i="2"/>
  <c r="E82" i="2"/>
  <c r="E81" i="2"/>
  <c r="E80" i="2"/>
  <c r="E79" i="2"/>
  <c r="E78" i="2"/>
  <c r="E77" i="2"/>
  <c r="E76" i="2"/>
  <c r="E75" i="2"/>
  <c r="E74" i="2"/>
  <c r="E73" i="2"/>
  <c r="E72" i="2"/>
  <c r="E69" i="2"/>
  <c r="E71" i="2"/>
  <c r="E68" i="2"/>
  <c r="E67" i="2"/>
  <c r="E66" i="2"/>
  <c r="E59" i="2"/>
  <c r="E58" i="2"/>
  <c r="E65" i="2"/>
  <c r="E63" i="2"/>
  <c r="E64" i="2"/>
  <c r="E62" i="2"/>
  <c r="E60" i="2"/>
  <c r="E61" i="2"/>
  <c r="E55" i="2"/>
  <c r="E54" i="2"/>
  <c r="E53" i="2"/>
  <c r="E52" i="2"/>
  <c r="E51" i="2"/>
  <c r="E50" i="2"/>
  <c r="E49" i="2"/>
  <c r="E48" i="2"/>
  <c r="E47" i="2"/>
  <c r="E46" i="2"/>
  <c r="E45" i="2"/>
  <c r="E44" i="2"/>
  <c r="E43" i="2"/>
  <c r="E42" i="2"/>
  <c r="E41" i="2"/>
  <c r="E39" i="2"/>
  <c r="E38" i="2"/>
  <c r="E40" i="2"/>
  <c r="E37" i="2"/>
  <c r="E36" i="2"/>
  <c r="E35" i="2"/>
  <c r="E34" i="2"/>
  <c r="E33" i="2"/>
  <c r="E32" i="2"/>
  <c r="E31" i="2"/>
  <c r="E30" i="2"/>
  <c r="E29" i="2"/>
  <c r="E27" i="2"/>
  <c r="E26" i="2"/>
  <c r="E25" i="2"/>
  <c r="E24" i="2"/>
  <c r="E23" i="2"/>
  <c r="E21" i="2"/>
  <c r="E20" i="2"/>
  <c r="E22" i="2"/>
  <c r="E16" i="2"/>
  <c r="E18" i="2"/>
  <c r="E17" i="2"/>
  <c r="E15" i="2"/>
  <c r="E19" i="2"/>
  <c r="E14" i="2"/>
  <c r="E13" i="2"/>
  <c r="E12" i="2"/>
  <c r="E10" i="2"/>
  <c r="E9" i="2"/>
  <c r="E8" i="2"/>
  <c r="E11" i="2"/>
  <c r="E7" i="2"/>
  <c r="E6" i="2"/>
  <c r="E3" i="2"/>
  <c r="E2" i="2"/>
</calcChain>
</file>

<file path=xl/sharedStrings.xml><?xml version="1.0" encoding="utf-8"?>
<sst xmlns="http://schemas.openxmlformats.org/spreadsheetml/2006/main" count="393" uniqueCount="331">
  <si>
    <t>LCC Cost Reference - Guide (for admins)</t>
  </si>
  <si>
    <t>Generated from: 411 selected batch(es) - re-run with a broader batch selection (ideally all batches) for fuller coverage.</t>
  </si>
  <si>
    <t>This is the single source of truth for cost figures. Every user's LCC Calculator session reads this same file automatically when computing a batch's costs - there is nothing for them to upload or configure.</t>
  </si>
  <si>
    <t>To update a cost: edit the matching row's Cost (or Price/Average_Quantity_Grams on Materials) on the relevant sheet below, set Verified to TRUE, and save this file in place. The change is live for every user next time they load a batch.</t>
  </si>
  <si>
    <t>To add a new material/process/item: add a new row with a name that exactly matches what the app extracts from NOMAD (use the admin 'Generate Cost Reference Template' button in the app to get exact names automatically instead of typing them by hand) - matching is by exact text, so a typo means the row is silently ignored rather than applied. Labor is the exception: Role is always one of the 4 fixed tiers, no typos possible.</t>
  </si>
  <si>
    <t>Materials sheet - Price and Grams_on_Bottle: enter what you paid for a bottle/container (Price) and how many grams it holds (Grams_on_Bottle) - Price_per_Gram_Est is computed automatically. Average_Quantity_Grams is how many grams a batch typically consumes of this material - NOMAD does not give a usable gram amount for solution-based materials, so this average is the only quantity source the app has. Pre-seeded with rough starting price estimates for common perovskite-fab chemicals (Verified=FALSE) - replace with your actual supplier prices and typical usage, and mark Verified=TRUE as you confirm each one.</t>
  </si>
  <si>
    <t>Capital_Overhead_Disposal sheet - Location: pre-seeded with one equipment-depreciation placeholder per known glovebox/tool. A process's Equipment_Cost in the exported report only applies when the batch's raw NOMAD location text exactly matches a Location here - see the exported report's Guide sheet for why that text is often inconsistent.</t>
  </si>
  <si>
    <t>Material_Name</t>
  </si>
  <si>
    <t>CAS_Number</t>
  </si>
  <si>
    <t>Price</t>
  </si>
  <si>
    <t>Grams_on_Bottle</t>
  </si>
  <si>
    <t>Price_per_Gram_Est</t>
  </si>
  <si>
    <t>Average_Quantity_Grams</t>
  </si>
  <si>
    <t>Verified</t>
  </si>
  <si>
    <t>Notes</t>
  </si>
  <si>
    <t>(2-(9H-Carbazol-9-yl)ethyl)phosphonic acid</t>
  </si>
  <si>
    <t>20999-38-6</t>
  </si>
  <si>
    <t>(CsI)0.07(FA0.7MA0.3Pb0.45Sn0.55I3)0.93</t>
  </si>
  <si>
    <t>1,4-butanediamine</t>
  </si>
  <si>
    <t>2,9-Dimethyl-4,7-diphenyl-1,10-phenanthroline</t>
  </si>
  <si>
    <t>4733-39-5</t>
  </si>
  <si>
    <t>2-MeTHF</t>
  </si>
  <si>
    <t>2ME</t>
  </si>
  <si>
    <t>2ME-ACN-NMP</t>
  </si>
  <si>
    <t>2ME-THF</t>
  </si>
  <si>
    <t>2PACz</t>
  </si>
  <si>
    <t>3MTPAI</t>
  </si>
  <si>
    <t>3PATAT</t>
  </si>
  <si>
    <t>4-tert-Butylpyridine</t>
  </si>
  <si>
    <t>3978-81-2</t>
  </si>
  <si>
    <t>Rough estimate based on general market knowledge, not a live supplier lookup - please confirm against your actual supplier/contract price.</t>
  </si>
  <si>
    <t>4FPA</t>
  </si>
  <si>
    <t>4PACz-Me</t>
  </si>
  <si>
    <t>4PADCB</t>
  </si>
  <si>
    <t>4fpa</t>
  </si>
  <si>
    <t>AEAI</t>
  </si>
  <si>
    <t>Acetic acid</t>
  </si>
  <si>
    <t>Acetonitrile</t>
  </si>
  <si>
    <t>Ag</t>
  </si>
  <si>
    <t>Al</t>
  </si>
  <si>
    <t>Al2O3</t>
  </si>
  <si>
    <t>AlOx</t>
  </si>
  <si>
    <t>Au</t>
  </si>
  <si>
    <t>BCP</t>
  </si>
  <si>
    <t>BMACl</t>
  </si>
  <si>
    <t>BPA</t>
  </si>
  <si>
    <t>Br-4PADCB</t>
  </si>
  <si>
    <t>Buckminsterfullerene</t>
  </si>
  <si>
    <t>99685-96-8</t>
  </si>
  <si>
    <t>Butanol</t>
  </si>
  <si>
    <t>Buthanol</t>
  </si>
  <si>
    <t>C26H20N2</t>
  </si>
  <si>
    <t>C60</t>
  </si>
  <si>
    <t>Cesium Iodide</t>
  </si>
  <si>
    <t>Cesium bromide</t>
  </si>
  <si>
    <t>Cesium chloride</t>
  </si>
  <si>
    <t>Chlorobenzene</t>
  </si>
  <si>
    <t>108-90-7</t>
  </si>
  <si>
    <t>Chloroform</t>
  </si>
  <si>
    <t>Coffee</t>
  </si>
  <si>
    <t>Cs2CO3</t>
  </si>
  <si>
    <t>534-17-8</t>
  </si>
  <si>
    <t>CsBr</t>
  </si>
  <si>
    <t>CsCl</t>
  </si>
  <si>
    <t>CsFA</t>
  </si>
  <si>
    <t>CsFAMA</t>
  </si>
  <si>
    <t>CsFAPbIBr</t>
  </si>
  <si>
    <t>CsI</t>
  </si>
  <si>
    <t>7789-17-5</t>
  </si>
  <si>
    <t>Cu</t>
  </si>
  <si>
    <t>CuAu</t>
  </si>
  <si>
    <t>DAB</t>
  </si>
  <si>
    <t>DCZ-4P</t>
  </si>
  <si>
    <t>DI Water</t>
  </si>
  <si>
    <t>7732-18-5</t>
  </si>
  <si>
    <t>DMAI</t>
  </si>
  <si>
    <t>DMAcPA</t>
  </si>
  <si>
    <t>DMF</t>
  </si>
  <si>
    <t>68-12-2</t>
  </si>
  <si>
    <t>DMF1</t>
  </si>
  <si>
    <t>DMF:DMSO</t>
  </si>
  <si>
    <t>DMSO</t>
  </si>
  <si>
    <t>67-68-5</t>
  </si>
  <si>
    <t>Dimethylammoniumchlorid</t>
  </si>
  <si>
    <t>Dimethylformamidinium</t>
  </si>
  <si>
    <t>EACI</t>
  </si>
  <si>
    <t>EACl</t>
  </si>
  <si>
    <t>EDAI2</t>
  </si>
  <si>
    <t>ETOH</t>
  </si>
  <si>
    <t>Ethanol</t>
  </si>
  <si>
    <t>FA</t>
  </si>
  <si>
    <t>FABr</t>
  </si>
  <si>
    <t>1197196-79-2</t>
  </si>
  <si>
    <t>FACl</t>
  </si>
  <si>
    <t>FACs</t>
  </si>
  <si>
    <t>FAI</t>
  </si>
  <si>
    <t>879643-71-7</t>
  </si>
  <si>
    <t>FAPbI3</t>
  </si>
  <si>
    <t>FAPbI3+MACl</t>
  </si>
  <si>
    <t>FAPbI4</t>
  </si>
  <si>
    <t>FBACl</t>
  </si>
  <si>
    <t>FBICl</t>
  </si>
  <si>
    <t>FNa</t>
  </si>
  <si>
    <t>GBL</t>
  </si>
  <si>
    <t>96-48-0</t>
  </si>
  <si>
    <t>GUAI</t>
  </si>
  <si>
    <t>GVL</t>
  </si>
  <si>
    <t>GlyHCl</t>
  </si>
  <si>
    <t>Glycine</t>
  </si>
  <si>
    <t>Glycine hydrochloride</t>
  </si>
  <si>
    <t>Goo-GO</t>
  </si>
  <si>
    <t>Graphene Oxide</t>
  </si>
  <si>
    <t>Guanidinium thiocyanate</t>
  </si>
  <si>
    <t>HPC/Tetrahydrofurane</t>
  </si>
  <si>
    <t>IPA</t>
  </si>
  <si>
    <t>67-63-0</t>
  </si>
  <si>
    <t>ITO</t>
  </si>
  <si>
    <t>IZO</t>
  </si>
  <si>
    <t>KI</t>
  </si>
  <si>
    <t>Li-TFSI</t>
  </si>
  <si>
    <t>90076-65-6</t>
  </si>
  <si>
    <t>LiF</t>
  </si>
  <si>
    <t>MA</t>
  </si>
  <si>
    <t>MA0.6FA0.4PbI3</t>
  </si>
  <si>
    <t>MA0.6Fa0.4PbI3</t>
  </si>
  <si>
    <t>MAAc</t>
  </si>
  <si>
    <t>MABr</t>
  </si>
  <si>
    <t>18617-60-8</t>
  </si>
  <si>
    <t>MACNO</t>
  </si>
  <si>
    <t>MACl</t>
  </si>
  <si>
    <t>593-51-1</t>
  </si>
  <si>
    <t>MAFA</t>
  </si>
  <si>
    <t>MAFAPbI3</t>
  </si>
  <si>
    <t>MAI</t>
  </si>
  <si>
    <t>14965-49-2</t>
  </si>
  <si>
    <t>MAP</t>
  </si>
  <si>
    <t>MAPbCl3</t>
  </si>
  <si>
    <t>MAPbI3</t>
  </si>
  <si>
    <t>MIX</t>
  </si>
  <si>
    <t>MIX SAM</t>
  </si>
  <si>
    <t>MPhPACz</t>
  </si>
  <si>
    <t>MXene</t>
  </si>
  <si>
    <t>Me-4PACz</t>
  </si>
  <si>
    <t>MeO-2PACz</t>
  </si>
  <si>
    <t>MeO-4PACz</t>
  </si>
  <si>
    <t>MeOH</t>
  </si>
  <si>
    <t>MePhpPACz</t>
  </si>
  <si>
    <t>Meo-4PACZ</t>
  </si>
  <si>
    <t>Meo-ph-4pacz</t>
  </si>
  <si>
    <t>Methylammonium chloride</t>
  </si>
  <si>
    <t>Methylammonium cyanate</t>
  </si>
  <si>
    <t>Methylammoniumchlorid</t>
  </si>
  <si>
    <t>Metylamine/Ethanol</t>
  </si>
  <si>
    <t>NMP</t>
  </si>
  <si>
    <t>NiO</t>
  </si>
  <si>
    <t>NiOx</t>
  </si>
  <si>
    <t>Nickel Oxide</t>
  </si>
  <si>
    <t>OAMI</t>
  </si>
  <si>
    <t>PADPA</t>
  </si>
  <si>
    <t>PAXPA</t>
  </si>
  <si>
    <t>PCBM</t>
  </si>
  <si>
    <t>160848-22-6</t>
  </si>
  <si>
    <t>PDAI</t>
  </si>
  <si>
    <t>PDAI2</t>
  </si>
  <si>
    <t>PEA2PbI4</t>
  </si>
  <si>
    <t>PEAI</t>
  </si>
  <si>
    <t>PEASCN</t>
  </si>
  <si>
    <t>PEDOT:PSS</t>
  </si>
  <si>
    <t>PEDOT:PSS aqueous solution</t>
  </si>
  <si>
    <t>PEIE</t>
  </si>
  <si>
    <t>PEPA</t>
  </si>
  <si>
    <t>PI</t>
  </si>
  <si>
    <t>PM6</t>
  </si>
  <si>
    <t>PPA</t>
  </si>
  <si>
    <t>PVDF</t>
  </si>
  <si>
    <t>PXDPA</t>
  </si>
  <si>
    <t>PXPDA</t>
  </si>
  <si>
    <t>Pb</t>
  </si>
  <si>
    <t>Pb(SCN)2</t>
  </si>
  <si>
    <t>PbAc</t>
  </si>
  <si>
    <t>PbAc2</t>
  </si>
  <si>
    <t>PbBr2</t>
  </si>
  <si>
    <t>10031-22-8</t>
  </si>
  <si>
    <t>PbCl2</t>
  </si>
  <si>
    <t>PbI2</t>
  </si>
  <si>
    <t>10101-63-0</t>
  </si>
  <si>
    <t>Ph-4PACz</t>
  </si>
  <si>
    <t>Phenethylammonium iodide</t>
  </si>
  <si>
    <t>Poly(2-ethyl-2-oxazolin)</t>
  </si>
  <si>
    <t>Propane-1,3-diammonium diiodide</t>
  </si>
  <si>
    <t>Propane-1,3-diammonium iodide</t>
  </si>
  <si>
    <t>RbF</t>
  </si>
  <si>
    <t>RbI</t>
  </si>
  <si>
    <t>RbSCN</t>
  </si>
  <si>
    <t>Sb2S3</t>
  </si>
  <si>
    <t>SbCl2</t>
  </si>
  <si>
    <t>Sn</t>
  </si>
  <si>
    <t>Sn-Pb perovskite</t>
  </si>
  <si>
    <t>SnF2</t>
  </si>
  <si>
    <t>SnI2</t>
  </si>
  <si>
    <t>SnO10</t>
  </si>
  <si>
    <t>SnO2</t>
  </si>
  <si>
    <t>SnOx</t>
  </si>
  <si>
    <t>Spiro-OMeTAD</t>
  </si>
  <si>
    <t>741909-64-2</t>
  </si>
  <si>
    <t>TAC</t>
  </si>
  <si>
    <t>Thiourea</t>
  </si>
  <si>
    <t>TiO2</t>
  </si>
  <si>
    <t>Toluene</t>
  </si>
  <si>
    <t>108-88-3</t>
  </si>
  <si>
    <t>V1681</t>
  </si>
  <si>
    <t>V1772</t>
  </si>
  <si>
    <t>V1773</t>
  </si>
  <si>
    <t>V1834</t>
  </si>
  <si>
    <t>V1835</t>
  </si>
  <si>
    <t>V1836</t>
  </si>
  <si>
    <t>Water</t>
  </si>
  <si>
    <t>Y6</t>
  </si>
  <si>
    <t>Y6/PM6</t>
  </si>
  <si>
    <t>YZ-XIV-13</t>
  </si>
  <si>
    <t>YZ-XIV-71</t>
  </si>
  <si>
    <t>YZ-XV-129</t>
  </si>
  <si>
    <t>YZ-XV-149</t>
  </si>
  <si>
    <t>YZ-XV-35</t>
  </si>
  <si>
    <t>YZ-XV-81</t>
  </si>
  <si>
    <t>YZ-XV-83</t>
  </si>
  <si>
    <t>ZnI2</t>
  </si>
  <si>
    <t>[6,6] phenyl-C61-butyric acid methyl ester</t>
  </si>
  <si>
    <t>[6,6]-Phenyl-C61Buttersäuremethylester</t>
  </si>
  <si>
    <t>bathocuproine</t>
  </si>
  <si>
    <t>dimethyl formamide</t>
  </si>
  <si>
    <t>dimethyl sulfoxide</t>
  </si>
  <si>
    <t>ethylenediammonium diiodide</t>
  </si>
  <si>
    <t>inorganic</t>
  </si>
  <si>
    <t>lead acetate</t>
  </si>
  <si>
    <t>301-04-2</t>
  </si>
  <si>
    <t>lead iodide</t>
  </si>
  <si>
    <t>13779-98-1</t>
  </si>
  <si>
    <t>mCB-FMN</t>
  </si>
  <si>
    <t>methlyammonium propionate</t>
  </si>
  <si>
    <t>oPDEAI2</t>
  </si>
  <si>
    <t>p-Phenylenediaminium iodide</t>
  </si>
  <si>
    <t>ph- PACZ</t>
  </si>
  <si>
    <t>piperazinium iodide</t>
  </si>
  <si>
    <t>polyethylenimine ethoxylated</t>
  </si>
  <si>
    <t>urea</t>
  </si>
  <si>
    <t>Process_Type</t>
  </si>
  <si>
    <t>Cost</t>
  </si>
  <si>
    <t>HySprint_AbsPLMeasurement</t>
  </si>
  <si>
    <t>HySprint_AtomicLayerDeposition</t>
  </si>
  <si>
    <t>HySprint_BladeCoating</t>
  </si>
  <si>
    <t>HySprint_Cleaning</t>
  </si>
  <si>
    <t>HySprint_CyclicVoltammetry</t>
  </si>
  <si>
    <t>HySprint_DifferentialPulseVoltammetry</t>
  </si>
  <si>
    <t>HySprint_EQEmeasurement</t>
  </si>
  <si>
    <t>HySprint_ElectrochemicalImpedanceSpectroscopy</t>
  </si>
  <si>
    <t>HySprint_Evaporation</t>
  </si>
  <si>
    <t>HySprint_ExperimentalPlan</t>
  </si>
  <si>
    <t>HySprint_Inkjet_Printing</t>
  </si>
  <si>
    <t>HySprint_JVmeasurement</t>
  </si>
  <si>
    <t>HySprint_LaserScribing</t>
  </si>
  <si>
    <t>HySprint_Measurement</t>
  </si>
  <si>
    <t>HySprint_OpenCircuitVoltage</t>
  </si>
  <si>
    <t>HySprint_PES</t>
  </si>
  <si>
    <t>HySprint_PLImaging</t>
  </si>
  <si>
    <t>HySprint_PLmeasurement</t>
  </si>
  <si>
    <t>HySprint_Process</t>
  </si>
  <si>
    <t>HySprint_SEM</t>
  </si>
  <si>
    <t>HySprint_SimpleMPPTracking</t>
  </si>
  <si>
    <t>HySprint_Simple_NMR</t>
  </si>
  <si>
    <t>HySprint_SlotDieCoating</t>
  </si>
  <si>
    <t>HySprint_SpinCoating</t>
  </si>
  <si>
    <t>HySprint_Sputtering</t>
  </si>
  <si>
    <t>HySprint_WetChemicalDepoistion</t>
  </si>
  <si>
    <t>HySprint_XRD_XY</t>
  </si>
  <si>
    <t>HySprint_trSPVmeasurement</t>
  </si>
  <si>
    <t>IRIS_AtomicLayerDeposition</t>
  </si>
  <si>
    <t>InkRecycling_RecyclingExperiment</t>
  </si>
  <si>
    <t>MAPI DMF DMSO Ahn ref spincoating</t>
  </si>
  <si>
    <t>RawHySprintExperiment</t>
  </si>
  <si>
    <t>Role</t>
  </si>
  <si>
    <t>Hourly_Rate_Est</t>
  </si>
  <si>
    <t>PhD Researcher</t>
  </si>
  <si>
    <t>Postdoc</t>
  </si>
  <si>
    <t>Engineer</t>
  </si>
  <si>
    <t>HiWi</t>
  </si>
  <si>
    <t>Item</t>
  </si>
  <si>
    <t>Location</t>
  </si>
  <si>
    <t>Category</t>
  </si>
  <si>
    <t>Allocation_Method</t>
  </si>
  <si>
    <t>Cleanroom / lab rent</t>
  </si>
  <si>
    <t>Overhead</t>
  </si>
  <si>
    <t>per hour</t>
  </si>
  <si>
    <t>Equipment depreciation - HyWeighBox</t>
  </si>
  <si>
    <t>HyWeighBox</t>
  </si>
  <si>
    <t>Capital</t>
  </si>
  <si>
    <t>per batch</t>
  </si>
  <si>
    <t>Equipment depreciation - HySolveBox</t>
  </si>
  <si>
    <t>HySolveBox</t>
  </si>
  <si>
    <t>Equipment depreciation - HySpinBox</t>
  </si>
  <si>
    <t>HySpinBox</t>
  </si>
  <si>
    <t>Equipment depreciation - HyPeroSpinBox</t>
  </si>
  <si>
    <t>HyPeroSpinBox</t>
  </si>
  <si>
    <t>Equipment depreciation - HyALDBox</t>
  </si>
  <si>
    <t>HyALDBox</t>
  </si>
  <si>
    <t>Equipment depreciation - HyVapBox</t>
  </si>
  <si>
    <t>HyVapBox</t>
  </si>
  <si>
    <t>Equipment depreciation - HyPeroVapBox</t>
  </si>
  <si>
    <t>HyPeroVapBox</t>
  </si>
  <si>
    <t>Equipment depreciation - HyMessBox</t>
  </si>
  <si>
    <t>HyMessBox</t>
  </si>
  <si>
    <t>Equipment depreciation - HySnPbBox</t>
  </si>
  <si>
    <t>HySnPbBox</t>
  </si>
  <si>
    <t>Equipment depreciation - ProtoSolveBox</t>
  </si>
  <si>
    <t>ProtoSolveBox</t>
  </si>
  <si>
    <t>Equipment depreciation - ProtoVapBox</t>
  </si>
  <si>
    <t>ProtoVapBox</t>
  </si>
  <si>
    <t>Equipment depreciation - TinSpinBox</t>
  </si>
  <si>
    <t>TinSpinBox</t>
  </si>
  <si>
    <t>Equipment depreciation - TinVapBox</t>
  </si>
  <si>
    <t>TinVapBox</t>
  </si>
  <si>
    <t>Equipment depreciation - TinHallBox</t>
  </si>
  <si>
    <t>TinHallBox</t>
  </si>
  <si>
    <t>Equipment depreciation - InkCoatBox</t>
  </si>
  <si>
    <t>InkCoatBox</t>
  </si>
  <si>
    <t>Equipment depreciation - InkRollBox</t>
  </si>
  <si>
    <t>InkRollBox</t>
  </si>
  <si>
    <t>Equipment depreciation - InkVapBox</t>
  </si>
  <si>
    <t>InkVapBox</t>
  </si>
  <si>
    <t>Equipment depreciation - InkPatternBox</t>
  </si>
  <si>
    <t>InkPatternBox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</si>
</sst>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
      <name val="Calibri"/>
    </font>
    <font>
      <b/>
      <sz val="11"/>
      <color rgb="FFFFFFFF"/>
      <name val="Calibri"/>
    </font>
  </fonts>
  <fills count="3">
    <fill>
      <patternFill patternType="none"/>
    </fill>
    <fill>
      <patternFill patternType="gray125"/>
    </fill>
    <fill>
      <patternFill patternType="solid">
        <fgColor rgb="FF2E86AB"/>
        <bgColor rgb="FF2E86AB"/>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0" fillId="0" borderId="0" xfId="0" applyAlignment="1">
      <alignment vertical="top" wrapText="1"/>
    </xf>
    <xf numFmtId="0" fontId="2" fillId="2" borderId="0" xfId="0" applyFont="1" applyFill="1" applyAlignment="1">
      <alignment horizontal="center" wrapText="1"/>
    </xf>
  </cellXfs>
  <cellStyles count="1">
    <cellStyle name="Normal" xfId="0" builtinId="0"/>
  </cellStyles>
  <dxfs count="8">
    <dxf>
      <fill>
        <patternFill patternType="solid">
          <fgColor rgb="FFD4EDDA"/>
          <bgColor rgb="FFD4EDDA"/>
        </patternFill>
      </fill>
    </dxf>
    <dxf>
      <fill>
        <patternFill patternType="solid">
          <fgColor rgb="FFF8D7DA"/>
          <bgColor rgb="FFF8D7DA"/>
        </patternFill>
      </fill>
    </dxf>
    <dxf>
      <fill>
        <patternFill patternType="solid">
          <fgColor rgb="FFD4EDDA"/>
          <bgColor rgb="FFD4EDDA"/>
        </patternFill>
      </fill>
    </dxf>
    <dxf>
      <fill>
        <patternFill patternType="solid">
          <fgColor rgb="FFF8D7DA"/>
          <bgColor rgb="FFF8D7DA"/>
        </patternFill>
      </fill>
    </dxf>
    <dxf>
      <fill>
        <patternFill patternType="solid">
          <fgColor rgb="FFD4EDDA"/>
          <bgColor rgb="FFD4EDDA"/>
        </patternFill>
      </fill>
    </dxf>
    <dxf>
      <fill>
        <patternFill patternType="solid">
          <fgColor rgb="FFF8D7DA"/>
          <bgColor rgb="FFF8D7DA"/>
        </patternFill>
      </fill>
    </dxf>
    <dxf>
      <fill>
        <patternFill patternType="solid">
          <fgColor rgb="FFD4EDDA"/>
          <bgColor rgb="FFD4EDDA"/>
        </patternFill>
      </fill>
    </dxf>
    <dxf>
      <fill>
        <patternFill patternType="solid">
          <fgColor rgb="FFF8D7DA"/>
          <bgColor rgb="FFF8D7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workbookViewId="0"/>
  </sheetViews>
  <sheetFormatPr defaultRowHeight="15" x14ac:dyDescent="0.25"/>
  <cols>
    <col min="1" max="1" width="110" customWidth="1"/>
  </cols>
  <sheetData>
    <row r="1" spans="1:1" ht="17.25" x14ac:dyDescent="0.25">
      <c r="A1" s="1" t="s">
        <v>0</v>
      </c>
    </row>
    <row r="2" spans="1:1" x14ac:dyDescent="0.25">
      <c r="A2" s="2"/>
    </row>
    <row r="3" spans="1:1" x14ac:dyDescent="0.25">
      <c r="A3" s="2" t="s">
        <v>1</v>
      </c>
    </row>
    <row r="4" spans="1:1" x14ac:dyDescent="0.25">
      <c r="A4" s="2"/>
    </row>
    <row r="5" spans="1:1" ht="30" x14ac:dyDescent="0.25">
      <c r="A5" s="2" t="s">
        <v>2</v>
      </c>
    </row>
    <row r="6" spans="1:1" x14ac:dyDescent="0.25">
      <c r="A6" s="2"/>
    </row>
    <row r="7" spans="1:1" ht="30" x14ac:dyDescent="0.25">
      <c r="A7" s="2" t="s">
        <v>3</v>
      </c>
    </row>
    <row r="8" spans="1:1" x14ac:dyDescent="0.25">
      <c r="A8" s="2"/>
    </row>
    <row r="9" spans="1:1" ht="60" x14ac:dyDescent="0.25">
      <c r="A9" s="2" t="s">
        <v>4</v>
      </c>
    </row>
    <row r="10" spans="1:1" x14ac:dyDescent="0.25">
      <c r="A10" s="2"/>
    </row>
    <row r="11" spans="1:1" ht="90" x14ac:dyDescent="0.25">
      <c r="A11" s="2" t="s">
        <v>5</v>
      </c>
    </row>
    <row r="12" spans="1:1" x14ac:dyDescent="0.25">
      <c r="A12" s="2"/>
    </row>
    <row r="13" spans="1:1" ht="45" x14ac:dyDescent="0.25">
      <c r="A13" s="2" t="s">
        <v>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6"/>
  <sheetViews>
    <sheetView tabSelected="1" workbookViewId="0">
      <pane ySplit="1" topLeftCell="A187" activePane="bottomLeft" state="frozen"/>
      <selection pane="bottomLeft" activeCell="A206" sqref="A206"/>
    </sheetView>
  </sheetViews>
  <sheetFormatPr defaultRowHeight="15" x14ac:dyDescent="0.25"/>
  <cols>
    <col min="1" max="1" width="15" customWidth="1"/>
    <col min="2" max="3" width="14" customWidth="1"/>
    <col min="4" max="4" width="17" customWidth="1"/>
    <col min="5" max="5" width="20" customWidth="1"/>
    <col min="6" max="6" width="24" customWidth="1"/>
    <col min="7" max="8" width="14" customWidth="1"/>
  </cols>
  <sheetData>
    <row r="1" spans="1:8" ht="30" x14ac:dyDescent="0.25">
      <c r="A1" s="3" t="s">
        <v>7</v>
      </c>
      <c r="B1" s="3" t="s">
        <v>8</v>
      </c>
      <c r="C1" s="3" t="s">
        <v>9</v>
      </c>
      <c r="D1" s="3" t="s">
        <v>10</v>
      </c>
      <c r="E1" s="3" t="s">
        <v>11</v>
      </c>
      <c r="F1" s="3" t="s">
        <v>12</v>
      </c>
      <c r="G1" s="3" t="s">
        <v>13</v>
      </c>
      <c r="H1" s="3" t="s">
        <v>14</v>
      </c>
    </row>
    <row r="2" spans="1:8" x14ac:dyDescent="0.25">
      <c r="A2" t="s">
        <v>15</v>
      </c>
      <c r="B2" t="s">
        <v>16</v>
      </c>
      <c r="E2" t="str">
        <f>IF(OR(C2="",D2=""),"",C2/D2)</f>
        <v/>
      </c>
      <c r="G2" t="b">
        <v>0</v>
      </c>
    </row>
    <row r="3" spans="1:8" x14ac:dyDescent="0.25">
      <c r="A3" t="s">
        <v>17</v>
      </c>
      <c r="E3" t="str">
        <f>IF(OR(C3="",D3=""),"",C3/D3)</f>
        <v/>
      </c>
      <c r="G3" t="b">
        <v>0</v>
      </c>
    </row>
    <row r="4" spans="1:8" x14ac:dyDescent="0.25">
      <c r="A4" t="s">
        <v>227</v>
      </c>
      <c r="E4" t="str">
        <f>IF(OR(C4="",D4=""),"",C4/D4)</f>
        <v/>
      </c>
      <c r="G4" t="b">
        <v>0</v>
      </c>
    </row>
    <row r="5" spans="1:8" x14ac:dyDescent="0.25">
      <c r="A5" t="s">
        <v>228</v>
      </c>
      <c r="E5" t="str">
        <f>IF(OR(C5="",D5=""),"",C5/D5)</f>
        <v/>
      </c>
      <c r="G5" t="b">
        <v>0</v>
      </c>
    </row>
    <row r="6" spans="1:8" x14ac:dyDescent="0.25">
      <c r="A6" t="s">
        <v>18</v>
      </c>
      <c r="E6" t="str">
        <f>IF(OR(C6="",D6=""),"",C6/D6)</f>
        <v/>
      </c>
      <c r="G6" t="b">
        <v>0</v>
      </c>
    </row>
    <row r="7" spans="1:8" x14ac:dyDescent="0.25">
      <c r="A7" t="s">
        <v>19</v>
      </c>
      <c r="B7" t="s">
        <v>20</v>
      </c>
      <c r="E7" t="str">
        <f>IF(OR(C7="",D7=""),"",C7/D7)</f>
        <v/>
      </c>
      <c r="G7" t="b">
        <v>0</v>
      </c>
    </row>
    <row r="8" spans="1:8" x14ac:dyDescent="0.25">
      <c r="A8" t="s">
        <v>22</v>
      </c>
      <c r="E8" t="str">
        <f>IF(OR(C8="",D8=""),"",C8/D8)</f>
        <v/>
      </c>
      <c r="G8" t="b">
        <v>0</v>
      </c>
    </row>
    <row r="9" spans="1:8" x14ac:dyDescent="0.25">
      <c r="A9" t="s">
        <v>23</v>
      </c>
      <c r="E9" t="str">
        <f>IF(OR(C9="",D9=""),"",C9/D9)</f>
        <v/>
      </c>
      <c r="G9" t="b">
        <v>0</v>
      </c>
    </row>
    <row r="10" spans="1:8" x14ac:dyDescent="0.25">
      <c r="A10" t="s">
        <v>24</v>
      </c>
      <c r="E10" t="str">
        <f>IF(OR(C10="",D10=""),"",C10/D10)</f>
        <v/>
      </c>
      <c r="G10" t="b">
        <v>0</v>
      </c>
    </row>
    <row r="11" spans="1:8" x14ac:dyDescent="0.25">
      <c r="A11" t="s">
        <v>21</v>
      </c>
      <c r="E11" t="str">
        <f>IF(OR(C11="",D11=""),"",C11/D11)</f>
        <v/>
      </c>
      <c r="G11" t="b">
        <v>0</v>
      </c>
    </row>
    <row r="12" spans="1:8" x14ac:dyDescent="0.25">
      <c r="A12" t="s">
        <v>25</v>
      </c>
      <c r="E12" t="str">
        <f>IF(OR(C12="",D12=""),"",C12/D12)</f>
        <v/>
      </c>
      <c r="G12" t="b">
        <v>0</v>
      </c>
    </row>
    <row r="13" spans="1:8" x14ac:dyDescent="0.25">
      <c r="A13" t="s">
        <v>26</v>
      </c>
      <c r="E13" t="str">
        <f>IF(OR(C13="",D13=""),"",C13/D13)</f>
        <v/>
      </c>
      <c r="G13" t="b">
        <v>0</v>
      </c>
    </row>
    <row r="14" spans="1:8" x14ac:dyDescent="0.25">
      <c r="A14" t="s">
        <v>27</v>
      </c>
      <c r="E14" t="str">
        <f>IF(OR(C14="",D14=""),"",C14/D14)</f>
        <v/>
      </c>
      <c r="G14" t="b">
        <v>0</v>
      </c>
    </row>
    <row r="15" spans="1:8" x14ac:dyDescent="0.25">
      <c r="A15" t="s">
        <v>31</v>
      </c>
      <c r="E15" t="str">
        <f>IF(OR(C15="",D15=""),"",C15/D15)</f>
        <v/>
      </c>
      <c r="G15" t="b">
        <v>0</v>
      </c>
    </row>
    <row r="16" spans="1:8" x14ac:dyDescent="0.25">
      <c r="A16" t="s">
        <v>34</v>
      </c>
      <c r="E16" t="str">
        <f>IF(OR(C16="",D16=""),"",C16/D16)</f>
        <v/>
      </c>
      <c r="G16" t="b">
        <v>0</v>
      </c>
    </row>
    <row r="17" spans="1:8" x14ac:dyDescent="0.25">
      <c r="A17" t="s">
        <v>32</v>
      </c>
      <c r="E17" t="str">
        <f>IF(OR(C17="",D17=""),"",C17/D17)</f>
        <v/>
      </c>
      <c r="G17" t="b">
        <v>0</v>
      </c>
    </row>
    <row r="18" spans="1:8" x14ac:dyDescent="0.25">
      <c r="A18" t="s">
        <v>33</v>
      </c>
      <c r="E18" t="str">
        <f>IF(OR(C18="",D18=""),"",C18/D18)</f>
        <v/>
      </c>
      <c r="G18" t="b">
        <v>0</v>
      </c>
    </row>
    <row r="19" spans="1:8" x14ac:dyDescent="0.25">
      <c r="A19" t="s">
        <v>28</v>
      </c>
      <c r="B19" t="s">
        <v>29</v>
      </c>
      <c r="C19">
        <v>1</v>
      </c>
      <c r="D19">
        <v>1</v>
      </c>
      <c r="E19">
        <f>IF(OR(C19="",D19=""),"",C19/D19)</f>
        <v>1</v>
      </c>
      <c r="G19" t="b">
        <v>0</v>
      </c>
      <c r="H19" t="s">
        <v>30</v>
      </c>
    </row>
    <row r="20" spans="1:8" x14ac:dyDescent="0.25">
      <c r="A20" t="s">
        <v>36</v>
      </c>
      <c r="E20" t="str">
        <f>IF(OR(C20="",D20=""),"",C20/D20)</f>
        <v/>
      </c>
      <c r="G20" t="b">
        <v>0</v>
      </c>
    </row>
    <row r="21" spans="1:8" x14ac:dyDescent="0.25">
      <c r="A21" t="s">
        <v>37</v>
      </c>
      <c r="E21" t="str">
        <f>IF(OR(C21="",D21=""),"",C21/D21)</f>
        <v/>
      </c>
      <c r="G21" t="b">
        <v>0</v>
      </c>
    </row>
    <row r="22" spans="1:8" x14ac:dyDescent="0.25">
      <c r="A22" t="s">
        <v>35</v>
      </c>
      <c r="E22" t="str">
        <f>IF(OR(C22="",D22=""),"",C22/D22)</f>
        <v/>
      </c>
      <c r="G22" t="b">
        <v>0</v>
      </c>
    </row>
    <row r="23" spans="1:8" x14ac:dyDescent="0.25">
      <c r="A23" t="s">
        <v>38</v>
      </c>
      <c r="E23" t="str">
        <f>IF(OR(C23="",D23=""),"",C23/D23)</f>
        <v/>
      </c>
      <c r="G23" t="b">
        <v>0</v>
      </c>
    </row>
    <row r="24" spans="1:8" x14ac:dyDescent="0.25">
      <c r="A24" t="s">
        <v>39</v>
      </c>
      <c r="E24" t="str">
        <f>IF(OR(C24="",D24=""),"",C24/D24)</f>
        <v/>
      </c>
      <c r="G24" t="b">
        <v>0</v>
      </c>
    </row>
    <row r="25" spans="1:8" x14ac:dyDescent="0.25">
      <c r="A25" t="s">
        <v>40</v>
      </c>
      <c r="E25" t="str">
        <f>IF(OR(C25="",D25=""),"",C25/D25)</f>
        <v/>
      </c>
      <c r="G25" t="b">
        <v>0</v>
      </c>
    </row>
    <row r="26" spans="1:8" x14ac:dyDescent="0.25">
      <c r="A26" t="s">
        <v>41</v>
      </c>
      <c r="E26" t="str">
        <f>IF(OR(C26="",D26=""),"",C26/D26)</f>
        <v/>
      </c>
      <c r="G26" t="b">
        <v>0</v>
      </c>
    </row>
    <row r="27" spans="1:8" x14ac:dyDescent="0.25">
      <c r="A27" t="s">
        <v>42</v>
      </c>
      <c r="E27" t="str">
        <f>IF(OR(C27="",D27=""),"",C27/D27)</f>
        <v/>
      </c>
      <c r="G27" t="b">
        <v>0</v>
      </c>
    </row>
    <row r="28" spans="1:8" x14ac:dyDescent="0.25">
      <c r="A28" t="s">
        <v>229</v>
      </c>
      <c r="E28" t="str">
        <f>IF(OR(C28="",D28=""),"",C28/D28)</f>
        <v/>
      </c>
      <c r="G28" t="b">
        <v>0</v>
      </c>
    </row>
    <row r="29" spans="1:8" x14ac:dyDescent="0.25">
      <c r="A29" t="s">
        <v>43</v>
      </c>
      <c r="E29" t="str">
        <f>IF(OR(C29="",D29=""),"",C29/D29)</f>
        <v/>
      </c>
      <c r="G29" t="b">
        <v>0</v>
      </c>
    </row>
    <row r="30" spans="1:8" x14ac:dyDescent="0.25">
      <c r="A30" t="s">
        <v>44</v>
      </c>
      <c r="E30" t="str">
        <f>IF(OR(C30="",D30=""),"",C30/D30)</f>
        <v/>
      </c>
      <c r="G30" t="b">
        <v>0</v>
      </c>
    </row>
    <row r="31" spans="1:8" x14ac:dyDescent="0.25">
      <c r="A31" t="s">
        <v>45</v>
      </c>
      <c r="E31" t="str">
        <f>IF(OR(C31="",D31=""),"",C31/D31)</f>
        <v/>
      </c>
      <c r="G31" t="b">
        <v>0</v>
      </c>
    </row>
    <row r="32" spans="1:8" x14ac:dyDescent="0.25">
      <c r="A32" t="s">
        <v>46</v>
      </c>
      <c r="E32" t="str">
        <f>IF(OR(C32="",D32=""),"",C32/D32)</f>
        <v/>
      </c>
      <c r="G32" t="b">
        <v>0</v>
      </c>
    </row>
    <row r="33" spans="1:8" x14ac:dyDescent="0.25">
      <c r="A33" t="s">
        <v>47</v>
      </c>
      <c r="B33" t="s">
        <v>48</v>
      </c>
      <c r="E33" t="str">
        <f>IF(OR(C33="",D33=""),"",C33/D33)</f>
        <v/>
      </c>
      <c r="G33" t="b">
        <v>0</v>
      </c>
    </row>
    <row r="34" spans="1:8" x14ac:dyDescent="0.25">
      <c r="A34" t="s">
        <v>49</v>
      </c>
      <c r="E34" t="str">
        <f>IF(OR(C34="",D34=""),"",C34/D34)</f>
        <v/>
      </c>
      <c r="G34" t="b">
        <v>0</v>
      </c>
    </row>
    <row r="35" spans="1:8" x14ac:dyDescent="0.25">
      <c r="A35" t="s">
        <v>50</v>
      </c>
      <c r="E35" t="str">
        <f>IF(OR(C35="",D35=""),"",C35/D35)</f>
        <v/>
      </c>
      <c r="G35" t="b">
        <v>0</v>
      </c>
    </row>
    <row r="36" spans="1:8" x14ac:dyDescent="0.25">
      <c r="A36" t="s">
        <v>51</v>
      </c>
      <c r="E36" t="str">
        <f>IF(OR(C36="",D36=""),"",C36/D36)</f>
        <v/>
      </c>
      <c r="G36" t="b">
        <v>0</v>
      </c>
    </row>
    <row r="37" spans="1:8" x14ac:dyDescent="0.25">
      <c r="A37" t="s">
        <v>52</v>
      </c>
      <c r="B37" t="s">
        <v>48</v>
      </c>
      <c r="C37">
        <v>50</v>
      </c>
      <c r="D37">
        <v>1</v>
      </c>
      <c r="E37">
        <f>IF(OR(C37="",D37=""),"",C37/D37)</f>
        <v>50</v>
      </c>
      <c r="G37" t="b">
        <v>0</v>
      </c>
      <c r="H37" t="s">
        <v>30</v>
      </c>
    </row>
    <row r="38" spans="1:8" x14ac:dyDescent="0.25">
      <c r="A38" t="s">
        <v>54</v>
      </c>
      <c r="E38" t="str">
        <f>IF(OR(C38="",D38=""),"",C38/D38)</f>
        <v/>
      </c>
      <c r="G38" t="b">
        <v>0</v>
      </c>
    </row>
    <row r="39" spans="1:8" x14ac:dyDescent="0.25">
      <c r="A39" t="s">
        <v>55</v>
      </c>
      <c r="E39" t="str">
        <f>IF(OR(C39="",D39=""),"",C39/D39)</f>
        <v/>
      </c>
      <c r="G39" t="b">
        <v>0</v>
      </c>
    </row>
    <row r="40" spans="1:8" x14ac:dyDescent="0.25">
      <c r="A40" t="s">
        <v>53</v>
      </c>
      <c r="E40" t="str">
        <f>IF(OR(C40="",D40=""),"",C40/D40)</f>
        <v/>
      </c>
      <c r="G40" t="b">
        <v>0</v>
      </c>
    </row>
    <row r="41" spans="1:8" x14ac:dyDescent="0.25">
      <c r="A41" t="s">
        <v>56</v>
      </c>
      <c r="B41" t="s">
        <v>57</v>
      </c>
      <c r="C41">
        <v>0.1</v>
      </c>
      <c r="D41">
        <v>1</v>
      </c>
      <c r="E41">
        <f>IF(OR(C41="",D41=""),"",C41/D41)</f>
        <v>0.1</v>
      </c>
      <c r="G41" t="b">
        <v>0</v>
      </c>
      <c r="H41" t="s">
        <v>30</v>
      </c>
    </row>
    <row r="42" spans="1:8" x14ac:dyDescent="0.25">
      <c r="A42" t="s">
        <v>58</v>
      </c>
      <c r="E42" t="str">
        <f>IF(OR(C42="",D42=""),"",C42/D42)</f>
        <v/>
      </c>
      <c r="G42" t="b">
        <v>0</v>
      </c>
    </row>
    <row r="43" spans="1:8" x14ac:dyDescent="0.25">
      <c r="A43" t="s">
        <v>59</v>
      </c>
      <c r="E43" t="str">
        <f>IF(OR(C43="",D43=""),"",C43/D43)</f>
        <v/>
      </c>
      <c r="G43" t="b">
        <v>0</v>
      </c>
    </row>
    <row r="44" spans="1:8" x14ac:dyDescent="0.25">
      <c r="A44" t="s">
        <v>60</v>
      </c>
      <c r="B44" t="s">
        <v>61</v>
      </c>
      <c r="C44">
        <v>3</v>
      </c>
      <c r="D44">
        <v>1</v>
      </c>
      <c r="E44">
        <f>IF(OR(C44="",D44=""),"",C44/D44)</f>
        <v>3</v>
      </c>
      <c r="G44" t="b">
        <v>0</v>
      </c>
      <c r="H44" t="s">
        <v>30</v>
      </c>
    </row>
    <row r="45" spans="1:8" x14ac:dyDescent="0.25">
      <c r="A45" t="s">
        <v>62</v>
      </c>
      <c r="E45" t="str">
        <f>IF(OR(C45="",D45=""),"",C45/D45)</f>
        <v/>
      </c>
      <c r="G45" t="b">
        <v>0</v>
      </c>
    </row>
    <row r="46" spans="1:8" x14ac:dyDescent="0.25">
      <c r="A46" t="s">
        <v>63</v>
      </c>
      <c r="E46" t="str">
        <f>IF(OR(C46="",D46=""),"",C46/D46)</f>
        <v/>
      </c>
      <c r="G46" t="b">
        <v>0</v>
      </c>
    </row>
    <row r="47" spans="1:8" x14ac:dyDescent="0.25">
      <c r="A47" t="s">
        <v>64</v>
      </c>
      <c r="E47" t="str">
        <f>IF(OR(C47="",D47=""),"",C47/D47)</f>
        <v/>
      </c>
      <c r="G47" t="b">
        <v>0</v>
      </c>
    </row>
    <row r="48" spans="1:8" x14ac:dyDescent="0.25">
      <c r="A48" t="s">
        <v>65</v>
      </c>
      <c r="E48" t="str">
        <f>IF(OR(C48="",D48=""),"",C48/D48)</f>
        <v/>
      </c>
      <c r="G48" t="b">
        <v>0</v>
      </c>
    </row>
    <row r="49" spans="1:8" x14ac:dyDescent="0.25">
      <c r="A49" t="s">
        <v>66</v>
      </c>
      <c r="E49" t="str">
        <f>IF(OR(C49="",D49=""),"",C49/D49)</f>
        <v/>
      </c>
      <c r="G49" t="b">
        <v>0</v>
      </c>
    </row>
    <row r="50" spans="1:8" x14ac:dyDescent="0.25">
      <c r="A50" t="s">
        <v>67</v>
      </c>
      <c r="B50" t="s">
        <v>68</v>
      </c>
      <c r="C50">
        <v>2</v>
      </c>
      <c r="D50">
        <v>1</v>
      </c>
      <c r="E50">
        <f>IF(OR(C50="",D50=""),"",C50/D50)</f>
        <v>2</v>
      </c>
      <c r="G50" t="b">
        <v>0</v>
      </c>
      <c r="H50" t="s">
        <v>30</v>
      </c>
    </row>
    <row r="51" spans="1:8" x14ac:dyDescent="0.25">
      <c r="A51" t="s">
        <v>69</v>
      </c>
      <c r="E51" t="str">
        <f>IF(OR(C51="",D51=""),"",C51/D51)</f>
        <v/>
      </c>
      <c r="G51" t="b">
        <v>0</v>
      </c>
    </row>
    <row r="52" spans="1:8" x14ac:dyDescent="0.25">
      <c r="A52" t="s">
        <v>70</v>
      </c>
      <c r="E52" t="str">
        <f>IF(OR(C52="",D52=""),"",C52/D52)</f>
        <v/>
      </c>
      <c r="G52" t="b">
        <v>0</v>
      </c>
    </row>
    <row r="53" spans="1:8" x14ac:dyDescent="0.25">
      <c r="A53" t="s">
        <v>71</v>
      </c>
      <c r="E53" t="str">
        <f>IF(OR(C53="",D53=""),"",C53/D53)</f>
        <v/>
      </c>
      <c r="G53" t="b">
        <v>0</v>
      </c>
    </row>
    <row r="54" spans="1:8" x14ac:dyDescent="0.25">
      <c r="A54" t="s">
        <v>72</v>
      </c>
      <c r="E54" t="str">
        <f>IF(OR(C54="",D54=""),"",C54/D54)</f>
        <v/>
      </c>
      <c r="G54" t="b">
        <v>0</v>
      </c>
    </row>
    <row r="55" spans="1:8" x14ac:dyDescent="0.25">
      <c r="A55" t="s">
        <v>73</v>
      </c>
      <c r="B55" t="s">
        <v>74</v>
      </c>
      <c r="E55" t="str">
        <f>IF(OR(C55="",D55=""),"",C55/D55)</f>
        <v/>
      </c>
      <c r="G55" t="b">
        <v>0</v>
      </c>
    </row>
    <row r="56" spans="1:8" x14ac:dyDescent="0.25">
      <c r="A56" t="s">
        <v>230</v>
      </c>
      <c r="B56" t="s">
        <v>78</v>
      </c>
      <c r="E56" t="str">
        <f>IF(OR(C56="",D56=""),"",C56/D56)</f>
        <v/>
      </c>
      <c r="G56" t="b">
        <v>0</v>
      </c>
    </row>
    <row r="57" spans="1:8" x14ac:dyDescent="0.25">
      <c r="A57" t="s">
        <v>231</v>
      </c>
      <c r="B57" t="s">
        <v>82</v>
      </c>
      <c r="E57" t="str">
        <f>IF(OR(C57="",D57=""),"",C57/D57)</f>
        <v/>
      </c>
      <c r="G57" t="b">
        <v>0</v>
      </c>
    </row>
    <row r="58" spans="1:8" x14ac:dyDescent="0.25">
      <c r="A58" t="s">
        <v>83</v>
      </c>
      <c r="E58" t="str">
        <f>IF(OR(C58="",D58=""),"",C58/D58)</f>
        <v/>
      </c>
      <c r="G58" t="b">
        <v>0</v>
      </c>
    </row>
    <row r="59" spans="1:8" x14ac:dyDescent="0.25">
      <c r="A59" t="s">
        <v>84</v>
      </c>
      <c r="E59" t="str">
        <f>IF(OR(C59="",D59=""),"",C59/D59)</f>
        <v/>
      </c>
      <c r="G59" t="b">
        <v>0</v>
      </c>
    </row>
    <row r="60" spans="1:8" x14ac:dyDescent="0.25">
      <c r="A60" t="s">
        <v>76</v>
      </c>
      <c r="E60" t="str">
        <f>IF(OR(C60="",D60=""),"",C60/D60)</f>
        <v/>
      </c>
      <c r="G60" t="b">
        <v>0</v>
      </c>
    </row>
    <row r="61" spans="1:8" x14ac:dyDescent="0.25">
      <c r="A61" t="s">
        <v>75</v>
      </c>
      <c r="E61" t="str">
        <f>IF(OR(C61="",D61=""),"",C61/D61)</f>
        <v/>
      </c>
      <c r="G61" t="b">
        <v>0</v>
      </c>
    </row>
    <row r="62" spans="1:8" x14ac:dyDescent="0.25">
      <c r="A62" t="s">
        <v>77</v>
      </c>
      <c r="B62" t="s">
        <v>78</v>
      </c>
      <c r="C62">
        <v>0.1</v>
      </c>
      <c r="D62">
        <v>1</v>
      </c>
      <c r="E62">
        <f>IF(OR(C62="",D62=""),"",C62/D62)</f>
        <v>0.1</v>
      </c>
      <c r="G62" t="b">
        <v>0</v>
      </c>
      <c r="H62" t="s">
        <v>30</v>
      </c>
    </row>
    <row r="63" spans="1:8" x14ac:dyDescent="0.25">
      <c r="A63" t="s">
        <v>80</v>
      </c>
      <c r="E63" t="str">
        <f>IF(OR(C63="",D63=""),"",C63/D63)</f>
        <v/>
      </c>
      <c r="G63" t="b">
        <v>0</v>
      </c>
    </row>
    <row r="64" spans="1:8" x14ac:dyDescent="0.25">
      <c r="A64" t="s">
        <v>79</v>
      </c>
      <c r="E64" t="str">
        <f>IF(OR(C64="",D64=""),"",C64/D64)</f>
        <v/>
      </c>
      <c r="G64" t="b">
        <v>0</v>
      </c>
    </row>
    <row r="65" spans="1:8" x14ac:dyDescent="0.25">
      <c r="A65" t="s">
        <v>81</v>
      </c>
      <c r="B65" t="s">
        <v>82</v>
      </c>
      <c r="C65">
        <v>0.1</v>
      </c>
      <c r="D65">
        <v>1</v>
      </c>
      <c r="E65">
        <f>IF(OR(C65="",D65=""),"",C65/D65)</f>
        <v>0.1</v>
      </c>
      <c r="G65" t="b">
        <v>0</v>
      </c>
      <c r="H65" t="s">
        <v>30</v>
      </c>
    </row>
    <row r="66" spans="1:8" x14ac:dyDescent="0.25">
      <c r="A66" t="s">
        <v>85</v>
      </c>
      <c r="E66" t="str">
        <f>IF(OR(C66="",D66=""),"",C66/D66)</f>
        <v/>
      </c>
      <c r="G66" t="b">
        <v>0</v>
      </c>
    </row>
    <row r="67" spans="1:8" x14ac:dyDescent="0.25">
      <c r="A67" t="s">
        <v>86</v>
      </c>
      <c r="E67" t="str">
        <f>IF(OR(C67="",D67=""),"",C67/D67)</f>
        <v/>
      </c>
      <c r="G67" t="b">
        <v>0</v>
      </c>
    </row>
    <row r="68" spans="1:8" x14ac:dyDescent="0.25">
      <c r="A68" t="s">
        <v>87</v>
      </c>
      <c r="E68" t="str">
        <f>IF(OR(C68="",D68=""),"",C68/D68)</f>
        <v/>
      </c>
      <c r="G68" t="b">
        <v>0</v>
      </c>
    </row>
    <row r="69" spans="1:8" x14ac:dyDescent="0.25">
      <c r="A69" t="s">
        <v>89</v>
      </c>
      <c r="E69" t="str">
        <f>IF(OR(C69="",D69=""),"",C69/D69)</f>
        <v/>
      </c>
      <c r="G69" t="b">
        <v>0</v>
      </c>
    </row>
    <row r="70" spans="1:8" x14ac:dyDescent="0.25">
      <c r="A70" t="s">
        <v>232</v>
      </c>
      <c r="E70" t="str">
        <f>IF(OR(C70="",D70=""),"",C70/D70)</f>
        <v/>
      </c>
      <c r="G70" t="b">
        <v>0</v>
      </c>
    </row>
    <row r="71" spans="1:8" x14ac:dyDescent="0.25">
      <c r="A71" t="s">
        <v>88</v>
      </c>
      <c r="E71" t="str">
        <f>IF(OR(C71="",D71=""),"",C71/D71)</f>
        <v/>
      </c>
      <c r="G71" t="b">
        <v>0</v>
      </c>
    </row>
    <row r="72" spans="1:8" x14ac:dyDescent="0.25">
      <c r="A72" t="s">
        <v>90</v>
      </c>
      <c r="E72" t="str">
        <f>IF(OR(C72="",D72=""),"",C72/D72)</f>
        <v/>
      </c>
      <c r="G72" t="b">
        <v>0</v>
      </c>
    </row>
    <row r="73" spans="1:8" x14ac:dyDescent="0.25">
      <c r="A73" t="s">
        <v>91</v>
      </c>
      <c r="B73" t="s">
        <v>92</v>
      </c>
      <c r="C73">
        <v>20</v>
      </c>
      <c r="D73">
        <v>1</v>
      </c>
      <c r="E73">
        <f>IF(OR(C73="",D73=""),"",C73/D73)</f>
        <v>20</v>
      </c>
      <c r="G73" t="b">
        <v>0</v>
      </c>
      <c r="H73" t="s">
        <v>30</v>
      </c>
    </row>
    <row r="74" spans="1:8" x14ac:dyDescent="0.25">
      <c r="A74" t="s">
        <v>93</v>
      </c>
      <c r="E74" t="str">
        <f>IF(OR(C74="",D74=""),"",C74/D74)</f>
        <v/>
      </c>
      <c r="G74" t="b">
        <v>0</v>
      </c>
    </row>
    <row r="75" spans="1:8" x14ac:dyDescent="0.25">
      <c r="A75" t="s">
        <v>94</v>
      </c>
      <c r="E75" t="str">
        <f>IF(OR(C75="",D75=""),"",C75/D75)</f>
        <v/>
      </c>
      <c r="G75" t="b">
        <v>0</v>
      </c>
    </row>
    <row r="76" spans="1:8" x14ac:dyDescent="0.25">
      <c r="A76" t="s">
        <v>95</v>
      </c>
      <c r="B76" t="s">
        <v>96</v>
      </c>
      <c r="C76">
        <v>20</v>
      </c>
      <c r="D76">
        <v>1</v>
      </c>
      <c r="E76">
        <f>IF(OR(C76="",D76=""),"",C76/D76)</f>
        <v>20</v>
      </c>
      <c r="G76" t="b">
        <v>0</v>
      </c>
      <c r="H76" t="s">
        <v>30</v>
      </c>
    </row>
    <row r="77" spans="1:8" x14ac:dyDescent="0.25">
      <c r="A77" t="s">
        <v>97</v>
      </c>
      <c r="E77" t="str">
        <f>IF(OR(C77="",D77=""),"",C77/D77)</f>
        <v/>
      </c>
      <c r="G77" t="b">
        <v>0</v>
      </c>
    </row>
    <row r="78" spans="1:8" x14ac:dyDescent="0.25">
      <c r="A78" t="s">
        <v>98</v>
      </c>
      <c r="E78" t="str">
        <f>IF(OR(C78="",D78=""),"",C78/D78)</f>
        <v/>
      </c>
      <c r="G78" t="b">
        <v>0</v>
      </c>
    </row>
    <row r="79" spans="1:8" x14ac:dyDescent="0.25">
      <c r="A79" t="s">
        <v>99</v>
      </c>
      <c r="E79" t="str">
        <f>IF(OR(C79="",D79=""),"",C79/D79)</f>
        <v/>
      </c>
      <c r="G79" t="b">
        <v>0</v>
      </c>
    </row>
    <row r="80" spans="1:8" x14ac:dyDescent="0.25">
      <c r="A80" t="s">
        <v>100</v>
      </c>
      <c r="E80" t="str">
        <f>IF(OR(C80="",D80=""),"",C80/D80)</f>
        <v/>
      </c>
      <c r="G80" t="b">
        <v>0</v>
      </c>
    </row>
    <row r="81" spans="1:8" x14ac:dyDescent="0.25">
      <c r="A81" t="s">
        <v>101</v>
      </c>
      <c r="E81" t="str">
        <f>IF(OR(C81="",D81=""),"",C81/D81)</f>
        <v/>
      </c>
      <c r="G81" t="b">
        <v>0</v>
      </c>
    </row>
    <row r="82" spans="1:8" x14ac:dyDescent="0.25">
      <c r="A82" t="s">
        <v>102</v>
      </c>
      <c r="E82" t="str">
        <f>IF(OR(C82="",D82=""),"",C82/D82)</f>
        <v/>
      </c>
      <c r="G82" t="b">
        <v>0</v>
      </c>
    </row>
    <row r="83" spans="1:8" x14ac:dyDescent="0.25">
      <c r="A83" t="s">
        <v>103</v>
      </c>
      <c r="B83" t="s">
        <v>104</v>
      </c>
      <c r="C83">
        <v>0.2</v>
      </c>
      <c r="D83">
        <v>1</v>
      </c>
      <c r="E83">
        <f>IF(OR(C83="",D83=""),"",C83/D83)</f>
        <v>0.2</v>
      </c>
      <c r="G83" t="b">
        <v>0</v>
      </c>
      <c r="H83" t="s">
        <v>30</v>
      </c>
    </row>
    <row r="84" spans="1:8" x14ac:dyDescent="0.25">
      <c r="A84" t="s">
        <v>108</v>
      </c>
      <c r="E84" t="str">
        <f>IF(OR(C84="",D84=""),"",C84/D84)</f>
        <v/>
      </c>
      <c r="G84" t="b">
        <v>0</v>
      </c>
    </row>
    <row r="85" spans="1:8" x14ac:dyDescent="0.25">
      <c r="A85" t="s">
        <v>109</v>
      </c>
      <c r="E85" t="str">
        <f>IF(OR(C85="",D85=""),"",C85/D85)</f>
        <v/>
      </c>
      <c r="G85" t="b">
        <v>0</v>
      </c>
    </row>
    <row r="86" spans="1:8" x14ac:dyDescent="0.25">
      <c r="A86" t="s">
        <v>107</v>
      </c>
      <c r="E86" t="str">
        <f>IF(OR(C86="",D86=""),"",C86/D86)</f>
        <v/>
      </c>
      <c r="G86" t="b">
        <v>0</v>
      </c>
    </row>
    <row r="87" spans="1:8" x14ac:dyDescent="0.25">
      <c r="A87" t="s">
        <v>110</v>
      </c>
      <c r="E87" t="str">
        <f>IF(OR(C87="",D87=""),"",C87/D87)</f>
        <v/>
      </c>
      <c r="G87" t="b">
        <v>0</v>
      </c>
    </row>
    <row r="88" spans="1:8" x14ac:dyDescent="0.25">
      <c r="A88" t="s">
        <v>111</v>
      </c>
      <c r="E88" t="str">
        <f>IF(OR(C88="",D88=""),"",C88/D88)</f>
        <v/>
      </c>
      <c r="G88" t="b">
        <v>0</v>
      </c>
    </row>
    <row r="89" spans="1:8" x14ac:dyDescent="0.25">
      <c r="A89" t="s">
        <v>105</v>
      </c>
      <c r="E89" t="str">
        <f>IF(OR(C89="",D89=""),"",C89/D89)</f>
        <v/>
      </c>
      <c r="G89" t="b">
        <v>0</v>
      </c>
    </row>
    <row r="90" spans="1:8" x14ac:dyDescent="0.25">
      <c r="A90" t="s">
        <v>112</v>
      </c>
      <c r="E90" t="str">
        <f>IF(OR(C90="",D90=""),"",C90/D90)</f>
        <v/>
      </c>
      <c r="G90" t="b">
        <v>0</v>
      </c>
    </row>
    <row r="91" spans="1:8" x14ac:dyDescent="0.25">
      <c r="A91" t="s">
        <v>106</v>
      </c>
      <c r="E91" t="str">
        <f>IF(OR(C91="",D91=""),"",C91/D91)</f>
        <v/>
      </c>
      <c r="G91" t="b">
        <v>0</v>
      </c>
    </row>
    <row r="92" spans="1:8" x14ac:dyDescent="0.25">
      <c r="A92" t="s">
        <v>113</v>
      </c>
      <c r="E92" t="str">
        <f>IF(OR(C92="",D92=""),"",C92/D92)</f>
        <v/>
      </c>
      <c r="G92" t="b">
        <v>0</v>
      </c>
    </row>
    <row r="93" spans="1:8" x14ac:dyDescent="0.25">
      <c r="A93" t="s">
        <v>233</v>
      </c>
      <c r="E93" t="str">
        <f>IF(OR(C93="",D93=""),"",C93/D93)</f>
        <v/>
      </c>
      <c r="G93" t="b">
        <v>0</v>
      </c>
    </row>
    <row r="94" spans="1:8" x14ac:dyDescent="0.25">
      <c r="A94" t="s">
        <v>114</v>
      </c>
      <c r="B94" t="s">
        <v>115</v>
      </c>
      <c r="C94">
        <v>0.05</v>
      </c>
      <c r="D94">
        <v>1</v>
      </c>
      <c r="E94">
        <f>IF(OR(C94="",D94=""),"",C94/D94)</f>
        <v>0.05</v>
      </c>
      <c r="G94" t="b">
        <v>0</v>
      </c>
      <c r="H94" t="s">
        <v>30</v>
      </c>
    </row>
    <row r="95" spans="1:8" x14ac:dyDescent="0.25">
      <c r="A95" t="s">
        <v>116</v>
      </c>
      <c r="E95" t="str">
        <f>IF(OR(C95="",D95=""),"",C95/D95)</f>
        <v/>
      </c>
      <c r="G95" t="b">
        <v>0</v>
      </c>
    </row>
    <row r="96" spans="1:8" x14ac:dyDescent="0.25">
      <c r="A96" t="s">
        <v>117</v>
      </c>
      <c r="E96" t="str">
        <f>IF(OR(C96="",D96=""),"",C96/D96)</f>
        <v/>
      </c>
      <c r="G96" t="b">
        <v>0</v>
      </c>
    </row>
    <row r="97" spans="1:8" x14ac:dyDescent="0.25">
      <c r="A97" t="s">
        <v>118</v>
      </c>
      <c r="E97" t="str">
        <f>IF(OR(C97="",D97=""),"",C97/D97)</f>
        <v/>
      </c>
      <c r="G97" t="b">
        <v>0</v>
      </c>
    </row>
    <row r="98" spans="1:8" x14ac:dyDescent="0.25">
      <c r="A98" t="s">
        <v>234</v>
      </c>
      <c r="B98" t="s">
        <v>235</v>
      </c>
      <c r="E98" t="str">
        <f>IF(OR(C98="",D98=""),"",C98/D98)</f>
        <v/>
      </c>
      <c r="G98" t="b">
        <v>0</v>
      </c>
    </row>
    <row r="99" spans="1:8" x14ac:dyDescent="0.25">
      <c r="A99" t="s">
        <v>236</v>
      </c>
      <c r="B99" t="s">
        <v>237</v>
      </c>
      <c r="E99" t="str">
        <f>IF(OR(C99="",D99=""),"",C99/D99)</f>
        <v/>
      </c>
      <c r="G99" t="b">
        <v>0</v>
      </c>
    </row>
    <row r="100" spans="1:8" x14ac:dyDescent="0.25">
      <c r="A100" t="s">
        <v>121</v>
      </c>
      <c r="E100" t="str">
        <f>IF(OR(C100="",D100=""),"",C100/D100)</f>
        <v/>
      </c>
      <c r="G100" t="b">
        <v>0</v>
      </c>
    </row>
    <row r="101" spans="1:8" x14ac:dyDescent="0.25">
      <c r="A101" t="s">
        <v>119</v>
      </c>
      <c r="B101" t="s">
        <v>120</v>
      </c>
      <c r="C101">
        <v>10</v>
      </c>
      <c r="D101">
        <v>1</v>
      </c>
      <c r="E101">
        <f>IF(OR(C101="",D101=""),"",C101/D101)</f>
        <v>10</v>
      </c>
      <c r="G101" t="b">
        <v>0</v>
      </c>
      <c r="H101" t="s">
        <v>30</v>
      </c>
    </row>
    <row r="102" spans="1:8" x14ac:dyDescent="0.25">
      <c r="A102" t="s">
        <v>122</v>
      </c>
      <c r="E102" t="str">
        <f>IF(OR(C102="",D102=""),"",C102/D102)</f>
        <v/>
      </c>
      <c r="G102" t="b">
        <v>0</v>
      </c>
    </row>
    <row r="103" spans="1:8" x14ac:dyDescent="0.25">
      <c r="A103" t="s">
        <v>123</v>
      </c>
      <c r="E103" t="str">
        <f>IF(OR(C103="",D103=""),"",C103/D103)</f>
        <v/>
      </c>
      <c r="G103" t="b">
        <v>0</v>
      </c>
    </row>
    <row r="104" spans="1:8" x14ac:dyDescent="0.25">
      <c r="A104" t="s">
        <v>124</v>
      </c>
      <c r="E104" t="str">
        <f>IF(OR(C104="",D104=""),"",C104/D104)</f>
        <v/>
      </c>
      <c r="G104" t="b">
        <v>0</v>
      </c>
    </row>
    <row r="105" spans="1:8" x14ac:dyDescent="0.25">
      <c r="A105" t="s">
        <v>125</v>
      </c>
      <c r="E105" t="str">
        <f>IF(OR(C105="",D105=""),"",C105/D105)</f>
        <v/>
      </c>
      <c r="G105" t="b">
        <v>0</v>
      </c>
    </row>
    <row r="106" spans="1:8" x14ac:dyDescent="0.25">
      <c r="A106" t="s">
        <v>126</v>
      </c>
      <c r="B106" t="s">
        <v>127</v>
      </c>
      <c r="C106">
        <v>15</v>
      </c>
      <c r="D106">
        <v>1</v>
      </c>
      <c r="E106">
        <f>IF(OR(C106="",D106=""),"",C106/D106)</f>
        <v>15</v>
      </c>
      <c r="G106" t="b">
        <v>0</v>
      </c>
      <c r="H106" t="s">
        <v>30</v>
      </c>
    </row>
    <row r="107" spans="1:8" x14ac:dyDescent="0.25">
      <c r="A107" t="s">
        <v>129</v>
      </c>
      <c r="B107" t="s">
        <v>130</v>
      </c>
      <c r="C107">
        <v>5</v>
      </c>
      <c r="D107">
        <v>1</v>
      </c>
      <c r="E107">
        <f>IF(OR(C107="",D107=""),"",C107/D107)</f>
        <v>5</v>
      </c>
      <c r="G107" t="b">
        <v>0</v>
      </c>
      <c r="H107" t="s">
        <v>30</v>
      </c>
    </row>
    <row r="108" spans="1:8" x14ac:dyDescent="0.25">
      <c r="A108" t="s">
        <v>128</v>
      </c>
      <c r="E108" t="str">
        <f>IF(OR(C108="",D108=""),"",C108/D108)</f>
        <v/>
      </c>
      <c r="G108" t="b">
        <v>0</v>
      </c>
    </row>
    <row r="109" spans="1:8" x14ac:dyDescent="0.25">
      <c r="A109" t="s">
        <v>131</v>
      </c>
      <c r="E109" t="str">
        <f>IF(OR(C109="",D109=""),"",C109/D109)</f>
        <v/>
      </c>
      <c r="G109" t="b">
        <v>0</v>
      </c>
    </row>
    <row r="110" spans="1:8" x14ac:dyDescent="0.25">
      <c r="A110" t="s">
        <v>132</v>
      </c>
      <c r="E110" t="str">
        <f>IF(OR(C110="",D110=""),"",C110/D110)</f>
        <v/>
      </c>
      <c r="G110" t="b">
        <v>0</v>
      </c>
    </row>
    <row r="111" spans="1:8" x14ac:dyDescent="0.25">
      <c r="A111" t="s">
        <v>133</v>
      </c>
      <c r="B111" t="s">
        <v>134</v>
      </c>
      <c r="C111">
        <v>15</v>
      </c>
      <c r="D111">
        <v>1</v>
      </c>
      <c r="E111">
        <f>IF(OR(C111="",D111=""),"",C111/D111)</f>
        <v>15</v>
      </c>
      <c r="G111" t="b">
        <v>0</v>
      </c>
      <c r="H111" t="s">
        <v>30</v>
      </c>
    </row>
    <row r="112" spans="1:8" x14ac:dyDescent="0.25">
      <c r="A112" t="s">
        <v>135</v>
      </c>
      <c r="E112" t="str">
        <f>IF(OR(C112="",D112=""),"",C112/D112)</f>
        <v/>
      </c>
      <c r="G112" t="b">
        <v>0</v>
      </c>
    </row>
    <row r="113" spans="1:7" x14ac:dyDescent="0.25">
      <c r="A113" t="s">
        <v>136</v>
      </c>
      <c r="E113" t="str">
        <f>IF(OR(C113="",D113=""),"",C113/D113)</f>
        <v/>
      </c>
      <c r="G113" t="b">
        <v>0</v>
      </c>
    </row>
    <row r="114" spans="1:7" x14ac:dyDescent="0.25">
      <c r="A114" t="s">
        <v>137</v>
      </c>
      <c r="E114" t="str">
        <f>IF(OR(C114="",D114=""),"",C114/D114)</f>
        <v/>
      </c>
      <c r="G114" t="b">
        <v>0</v>
      </c>
    </row>
    <row r="115" spans="1:7" x14ac:dyDescent="0.25">
      <c r="A115" t="s">
        <v>238</v>
      </c>
      <c r="E115" t="str">
        <f>IF(OR(C115="",D115=""),"",C115/D115)</f>
        <v/>
      </c>
      <c r="G115" t="b">
        <v>0</v>
      </c>
    </row>
    <row r="116" spans="1:7" x14ac:dyDescent="0.25">
      <c r="A116" t="s">
        <v>142</v>
      </c>
      <c r="E116" t="str">
        <f>IF(OR(C116="",D116=""),"",C116/D116)</f>
        <v/>
      </c>
      <c r="G116" t="b">
        <v>0</v>
      </c>
    </row>
    <row r="117" spans="1:7" x14ac:dyDescent="0.25">
      <c r="A117" t="s">
        <v>143</v>
      </c>
      <c r="E117" t="str">
        <f>IF(OR(C117="",D117=""),"",C117/D117)</f>
        <v/>
      </c>
      <c r="G117" t="b">
        <v>0</v>
      </c>
    </row>
    <row r="118" spans="1:7" x14ac:dyDescent="0.25">
      <c r="A118" t="s">
        <v>144</v>
      </c>
      <c r="E118" t="str">
        <f>IF(OR(C118="",D118=""),"",C118/D118)</f>
        <v/>
      </c>
      <c r="G118" t="b">
        <v>0</v>
      </c>
    </row>
    <row r="119" spans="1:7" x14ac:dyDescent="0.25">
      <c r="A119" t="s">
        <v>147</v>
      </c>
      <c r="E119" t="str">
        <f>IF(OR(C119="",D119=""),"",C119/D119)</f>
        <v/>
      </c>
      <c r="G119" t="b">
        <v>0</v>
      </c>
    </row>
    <row r="120" spans="1:7" x14ac:dyDescent="0.25">
      <c r="A120" t="s">
        <v>145</v>
      </c>
      <c r="E120" t="str">
        <f>IF(OR(C120="",D120=""),"",C120/D120)</f>
        <v/>
      </c>
      <c r="G120" t="b">
        <v>0</v>
      </c>
    </row>
    <row r="121" spans="1:7" x14ac:dyDescent="0.25">
      <c r="A121" t="s">
        <v>148</v>
      </c>
      <c r="E121" t="str">
        <f>IF(OR(C121="",D121=""),"",C121/D121)</f>
        <v/>
      </c>
      <c r="G121" t="b">
        <v>0</v>
      </c>
    </row>
    <row r="122" spans="1:7" x14ac:dyDescent="0.25">
      <c r="A122" t="s">
        <v>146</v>
      </c>
      <c r="E122" t="str">
        <f>IF(OR(C122="",D122=""),"",C122/D122)</f>
        <v/>
      </c>
      <c r="G122" t="b">
        <v>0</v>
      </c>
    </row>
    <row r="123" spans="1:7" x14ac:dyDescent="0.25">
      <c r="A123" t="s">
        <v>239</v>
      </c>
      <c r="E123" t="str">
        <f>IF(OR(C123="",D123=""),"",C123/D123)</f>
        <v/>
      </c>
      <c r="G123" t="b">
        <v>0</v>
      </c>
    </row>
    <row r="124" spans="1:7" x14ac:dyDescent="0.25">
      <c r="A124" t="s">
        <v>149</v>
      </c>
      <c r="E124" t="str">
        <f>IF(OR(C124="",D124=""),"",C124/D124)</f>
        <v/>
      </c>
      <c r="G124" t="b">
        <v>0</v>
      </c>
    </row>
    <row r="125" spans="1:7" x14ac:dyDescent="0.25">
      <c r="A125" t="s">
        <v>150</v>
      </c>
      <c r="E125" t="str">
        <f>IF(OR(C125="",D125=""),"",C125/D125)</f>
        <v/>
      </c>
      <c r="G125" t="b">
        <v>0</v>
      </c>
    </row>
    <row r="126" spans="1:7" x14ac:dyDescent="0.25">
      <c r="A126" t="s">
        <v>151</v>
      </c>
      <c r="E126" t="str">
        <f>IF(OR(C126="",D126=""),"",C126/D126)</f>
        <v/>
      </c>
      <c r="G126" t="b">
        <v>0</v>
      </c>
    </row>
    <row r="127" spans="1:7" x14ac:dyDescent="0.25">
      <c r="A127" t="s">
        <v>152</v>
      </c>
      <c r="E127" t="str">
        <f>IF(OR(C127="",D127=""),"",C127/D127)</f>
        <v/>
      </c>
      <c r="G127" t="b">
        <v>0</v>
      </c>
    </row>
    <row r="128" spans="1:7" x14ac:dyDescent="0.25">
      <c r="A128" t="s">
        <v>138</v>
      </c>
      <c r="E128" t="str">
        <f>IF(OR(C128="",D128=""),"",C128/D128)</f>
        <v/>
      </c>
      <c r="G128" t="b">
        <v>0</v>
      </c>
    </row>
    <row r="129" spans="1:8" x14ac:dyDescent="0.25">
      <c r="A129" t="s">
        <v>139</v>
      </c>
      <c r="E129" t="str">
        <f>IF(OR(C129="",D129=""),"",C129/D129)</f>
        <v/>
      </c>
      <c r="G129" t="b">
        <v>0</v>
      </c>
    </row>
    <row r="130" spans="1:8" x14ac:dyDescent="0.25">
      <c r="A130" t="s">
        <v>140</v>
      </c>
      <c r="E130" t="str">
        <f>IF(OR(C130="",D130=""),"",C130/D130)</f>
        <v/>
      </c>
      <c r="G130" t="b">
        <v>0</v>
      </c>
    </row>
    <row r="131" spans="1:8" x14ac:dyDescent="0.25">
      <c r="A131" t="s">
        <v>141</v>
      </c>
      <c r="E131" t="str">
        <f>IF(OR(C131="",D131=""),"",C131/D131)</f>
        <v/>
      </c>
      <c r="G131" t="b">
        <v>0</v>
      </c>
    </row>
    <row r="132" spans="1:8" x14ac:dyDescent="0.25">
      <c r="A132" t="s">
        <v>156</v>
      </c>
      <c r="E132" t="str">
        <f>IF(OR(C132="",D132=""),"",C132/D132)</f>
        <v/>
      </c>
      <c r="G132" t="b">
        <v>0</v>
      </c>
    </row>
    <row r="133" spans="1:8" x14ac:dyDescent="0.25">
      <c r="A133" t="s">
        <v>154</v>
      </c>
      <c r="E133" t="str">
        <f>IF(OR(C133="",D133=""),"",C133/D133)</f>
        <v/>
      </c>
      <c r="G133" t="b">
        <v>0</v>
      </c>
    </row>
    <row r="134" spans="1:8" x14ac:dyDescent="0.25">
      <c r="A134" t="s">
        <v>155</v>
      </c>
      <c r="E134" t="str">
        <f>IF(OR(C134="",D134=""),"",C134/D134)</f>
        <v/>
      </c>
      <c r="G134" t="b">
        <v>0</v>
      </c>
    </row>
    <row r="135" spans="1:8" x14ac:dyDescent="0.25">
      <c r="A135" t="s">
        <v>153</v>
      </c>
      <c r="E135" t="str">
        <f>IF(OR(C135="",D135=""),"",C135/D135)</f>
        <v/>
      </c>
      <c r="G135" t="b">
        <v>0</v>
      </c>
    </row>
    <row r="136" spans="1:8" x14ac:dyDescent="0.25">
      <c r="A136" t="s">
        <v>157</v>
      </c>
      <c r="E136" t="str">
        <f>IF(OR(C136="",D136=""),"",C136/D136)</f>
        <v/>
      </c>
      <c r="G136" t="b">
        <v>0</v>
      </c>
    </row>
    <row r="137" spans="1:8" x14ac:dyDescent="0.25">
      <c r="A137" t="s">
        <v>240</v>
      </c>
      <c r="E137" t="str">
        <f>IF(OR(C137="",D137=""),"",C137/D137)</f>
        <v/>
      </c>
      <c r="G137" t="b">
        <v>0</v>
      </c>
    </row>
    <row r="138" spans="1:8" x14ac:dyDescent="0.25">
      <c r="A138" t="s">
        <v>158</v>
      </c>
      <c r="E138" t="str">
        <f>IF(OR(C138="",D138=""),"",C138/D138)</f>
        <v/>
      </c>
      <c r="G138" t="b">
        <v>0</v>
      </c>
    </row>
    <row r="139" spans="1:8" x14ac:dyDescent="0.25">
      <c r="A139" t="s">
        <v>159</v>
      </c>
      <c r="E139" t="str">
        <f>IF(OR(C139="",D139=""),"",C139/D139)</f>
        <v/>
      </c>
      <c r="G139" t="b">
        <v>0</v>
      </c>
    </row>
    <row r="140" spans="1:8" x14ac:dyDescent="0.25">
      <c r="A140" t="s">
        <v>177</v>
      </c>
      <c r="E140" t="str">
        <f>IF(OR(C140="",D140=""),"",C140/D140)</f>
        <v/>
      </c>
      <c r="G140" t="b">
        <v>0</v>
      </c>
    </row>
    <row r="141" spans="1:8" x14ac:dyDescent="0.25">
      <c r="A141" t="s">
        <v>178</v>
      </c>
      <c r="E141" t="str">
        <f>IF(OR(C141="",D141=""),"",C141/D141)</f>
        <v/>
      </c>
      <c r="G141" t="b">
        <v>0</v>
      </c>
    </row>
    <row r="142" spans="1:8" x14ac:dyDescent="0.25">
      <c r="A142" t="s">
        <v>179</v>
      </c>
      <c r="E142" t="str">
        <f>IF(OR(C142="",D142=""),"",C142/D142)</f>
        <v/>
      </c>
      <c r="G142" t="b">
        <v>0</v>
      </c>
    </row>
    <row r="143" spans="1:8" x14ac:dyDescent="0.25">
      <c r="A143" t="s">
        <v>180</v>
      </c>
      <c r="E143" t="str">
        <f>IF(OR(C143="",D143=""),"",C143/D143)</f>
        <v/>
      </c>
      <c r="G143" t="b">
        <v>0</v>
      </c>
    </row>
    <row r="144" spans="1:8" x14ac:dyDescent="0.25">
      <c r="A144" t="s">
        <v>181</v>
      </c>
      <c r="B144" t="s">
        <v>182</v>
      </c>
      <c r="C144">
        <v>3</v>
      </c>
      <c r="D144">
        <v>1</v>
      </c>
      <c r="E144">
        <f>IF(OR(C144="",D144=""),"",C144/D144)</f>
        <v>3</v>
      </c>
      <c r="G144" t="b">
        <v>0</v>
      </c>
      <c r="H144" t="s">
        <v>30</v>
      </c>
    </row>
    <row r="145" spans="1:8" x14ac:dyDescent="0.25">
      <c r="A145" t="s">
        <v>183</v>
      </c>
      <c r="E145" t="str">
        <f>IF(OR(C145="",D145=""),"",C145/D145)</f>
        <v/>
      </c>
      <c r="G145" t="b">
        <v>0</v>
      </c>
    </row>
    <row r="146" spans="1:8" x14ac:dyDescent="0.25">
      <c r="A146" t="s">
        <v>184</v>
      </c>
      <c r="B146" t="s">
        <v>185</v>
      </c>
      <c r="C146">
        <v>3</v>
      </c>
      <c r="D146">
        <v>1</v>
      </c>
      <c r="E146">
        <f>IF(OR(C146="",D146=""),"",C146/D146)</f>
        <v>3</v>
      </c>
      <c r="G146" t="b">
        <v>0</v>
      </c>
      <c r="H146" t="s">
        <v>30</v>
      </c>
    </row>
    <row r="147" spans="1:8" x14ac:dyDescent="0.25">
      <c r="A147" t="s">
        <v>160</v>
      </c>
      <c r="B147" t="s">
        <v>161</v>
      </c>
      <c r="C147">
        <v>100</v>
      </c>
      <c r="D147">
        <v>1</v>
      </c>
      <c r="E147">
        <f>IF(OR(C147="",D147=""),"",C147/D147)</f>
        <v>100</v>
      </c>
      <c r="G147" t="b">
        <v>0</v>
      </c>
      <c r="H147" t="s">
        <v>30</v>
      </c>
    </row>
    <row r="148" spans="1:8" x14ac:dyDescent="0.25">
      <c r="A148" t="s">
        <v>162</v>
      </c>
      <c r="E148" t="str">
        <f>IF(OR(C148="",D148=""),"",C148/D148)</f>
        <v/>
      </c>
      <c r="G148" t="b">
        <v>0</v>
      </c>
    </row>
    <row r="149" spans="1:8" x14ac:dyDescent="0.25">
      <c r="A149" t="s">
        <v>163</v>
      </c>
      <c r="E149" t="str">
        <f>IF(OR(C149="",D149=""),"",C149/D149)</f>
        <v/>
      </c>
      <c r="G149" t="b">
        <v>0</v>
      </c>
    </row>
    <row r="150" spans="1:8" x14ac:dyDescent="0.25">
      <c r="A150" t="s">
        <v>164</v>
      </c>
      <c r="E150" t="str">
        <f>IF(OR(C150="",D150=""),"",C150/D150)</f>
        <v/>
      </c>
      <c r="G150" t="b">
        <v>0</v>
      </c>
    </row>
    <row r="151" spans="1:8" x14ac:dyDescent="0.25">
      <c r="A151" t="s">
        <v>165</v>
      </c>
      <c r="E151" t="str">
        <f>IF(OR(C151="",D151=""),"",C151/D151)</f>
        <v/>
      </c>
      <c r="G151" t="b">
        <v>0</v>
      </c>
    </row>
    <row r="152" spans="1:8" x14ac:dyDescent="0.25">
      <c r="A152" t="s">
        <v>166</v>
      </c>
      <c r="E152" t="str">
        <f>IF(OR(C152="",D152=""),"",C152/D152)</f>
        <v/>
      </c>
      <c r="G152" t="b">
        <v>0</v>
      </c>
    </row>
    <row r="153" spans="1:8" x14ac:dyDescent="0.25">
      <c r="A153" t="s">
        <v>167</v>
      </c>
      <c r="E153" t="str">
        <f>IF(OR(C153="",D153=""),"",C153/D153)</f>
        <v/>
      </c>
      <c r="G153" t="b">
        <v>0</v>
      </c>
    </row>
    <row r="154" spans="1:8" x14ac:dyDescent="0.25">
      <c r="A154" t="s">
        <v>168</v>
      </c>
      <c r="E154" t="str">
        <f>IF(OR(C154="",D154=""),"",C154/D154)</f>
        <v/>
      </c>
      <c r="G154" t="b">
        <v>0</v>
      </c>
    </row>
    <row r="155" spans="1:8" x14ac:dyDescent="0.25">
      <c r="A155" t="s">
        <v>169</v>
      </c>
      <c r="E155" t="str">
        <f>IF(OR(C155="",D155=""),"",C155/D155)</f>
        <v/>
      </c>
      <c r="G155" t="b">
        <v>0</v>
      </c>
    </row>
    <row r="156" spans="1:8" x14ac:dyDescent="0.25">
      <c r="A156" t="s">
        <v>170</v>
      </c>
      <c r="E156" t="str">
        <f>IF(OR(C156="",D156=""),"",C156/D156)</f>
        <v/>
      </c>
      <c r="G156" t="b">
        <v>0</v>
      </c>
    </row>
    <row r="157" spans="1:8" x14ac:dyDescent="0.25">
      <c r="A157" t="s">
        <v>242</v>
      </c>
      <c r="E157" t="str">
        <f>IF(OR(C157="",D157=""),"",C157/D157)</f>
        <v/>
      </c>
      <c r="G157" t="b">
        <v>0</v>
      </c>
    </row>
    <row r="158" spans="1:8" x14ac:dyDescent="0.25">
      <c r="A158" t="s">
        <v>186</v>
      </c>
      <c r="E158" t="str">
        <f>IF(OR(C158="",D158=""),"",C158/D158)</f>
        <v/>
      </c>
      <c r="G158" t="b">
        <v>0</v>
      </c>
    </row>
    <row r="159" spans="1:8" x14ac:dyDescent="0.25">
      <c r="A159" t="s">
        <v>187</v>
      </c>
      <c r="E159" t="str">
        <f>IF(OR(C159="",D159=""),"",C159/D159)</f>
        <v/>
      </c>
      <c r="G159" t="b">
        <v>0</v>
      </c>
    </row>
    <row r="160" spans="1:8" x14ac:dyDescent="0.25">
      <c r="A160" t="s">
        <v>171</v>
      </c>
      <c r="E160" t="str">
        <f>IF(OR(C160="",D160=""),"",C160/D160)</f>
        <v/>
      </c>
      <c r="G160" t="b">
        <v>0</v>
      </c>
    </row>
    <row r="161" spans="1:7" x14ac:dyDescent="0.25">
      <c r="A161" t="s">
        <v>243</v>
      </c>
      <c r="E161" t="str">
        <f>IF(OR(C161="",D161=""),"",C161/D161)</f>
        <v/>
      </c>
      <c r="G161" t="b">
        <v>0</v>
      </c>
    </row>
    <row r="162" spans="1:7" x14ac:dyDescent="0.25">
      <c r="A162" t="s">
        <v>172</v>
      </c>
      <c r="E162" t="str">
        <f>IF(OR(C162="",D162=""),"",C162/D162)</f>
        <v/>
      </c>
      <c r="G162" t="b">
        <v>0</v>
      </c>
    </row>
    <row r="163" spans="1:7" x14ac:dyDescent="0.25">
      <c r="A163" t="s">
        <v>188</v>
      </c>
      <c r="E163" t="str">
        <f>IF(OR(C163="",D163=""),"",C163/D163)</f>
        <v/>
      </c>
      <c r="G163" t="b">
        <v>0</v>
      </c>
    </row>
    <row r="164" spans="1:7" x14ac:dyDescent="0.25">
      <c r="A164" t="s">
        <v>244</v>
      </c>
      <c r="E164" t="str">
        <f>IF(OR(C164="",D164=""),"",C164/D164)</f>
        <v/>
      </c>
      <c r="G164" t="b">
        <v>0</v>
      </c>
    </row>
    <row r="165" spans="1:7" x14ac:dyDescent="0.25">
      <c r="A165" t="s">
        <v>173</v>
      </c>
      <c r="E165" t="str">
        <f>IF(OR(C165="",D165=""),"",C165/D165)</f>
        <v/>
      </c>
      <c r="G165" t="b">
        <v>0</v>
      </c>
    </row>
    <row r="166" spans="1:7" x14ac:dyDescent="0.25">
      <c r="A166" t="s">
        <v>241</v>
      </c>
      <c r="E166" t="str">
        <f>IF(OR(C166="",D166=""),"",C166/D166)</f>
        <v/>
      </c>
      <c r="G166" t="b">
        <v>0</v>
      </c>
    </row>
    <row r="167" spans="1:7" x14ac:dyDescent="0.25">
      <c r="A167" t="s">
        <v>189</v>
      </c>
      <c r="E167" t="str">
        <f>IF(OR(C167="",D167=""),"",C167/D167)</f>
        <v/>
      </c>
      <c r="G167" t="b">
        <v>0</v>
      </c>
    </row>
    <row r="168" spans="1:7" x14ac:dyDescent="0.25">
      <c r="A168" t="s">
        <v>190</v>
      </c>
      <c r="E168" t="str">
        <f>IF(OR(C168="",D168=""),"",C168/D168)</f>
        <v/>
      </c>
      <c r="G168" t="b">
        <v>0</v>
      </c>
    </row>
    <row r="169" spans="1:7" x14ac:dyDescent="0.25">
      <c r="A169" t="s">
        <v>174</v>
      </c>
      <c r="E169" t="str">
        <f>IF(OR(C169="",D169=""),"",C169/D169)</f>
        <v/>
      </c>
      <c r="G169" t="b">
        <v>0</v>
      </c>
    </row>
    <row r="170" spans="1:7" x14ac:dyDescent="0.25">
      <c r="A170" t="s">
        <v>175</v>
      </c>
      <c r="E170" t="str">
        <f>IF(OR(C170="",D170=""),"",C170/D170)</f>
        <v/>
      </c>
      <c r="G170" t="b">
        <v>0</v>
      </c>
    </row>
    <row r="171" spans="1:7" x14ac:dyDescent="0.25">
      <c r="A171" t="s">
        <v>176</v>
      </c>
      <c r="E171" t="str">
        <f>IF(OR(C171="",D171=""),"",C171/D171)</f>
        <v/>
      </c>
      <c r="G171" t="b">
        <v>0</v>
      </c>
    </row>
    <row r="172" spans="1:7" x14ac:dyDescent="0.25">
      <c r="A172" t="s">
        <v>191</v>
      </c>
      <c r="E172" t="str">
        <f>IF(OR(C172="",D172=""),"",C172/D172)</f>
        <v/>
      </c>
      <c r="G172" t="b">
        <v>0</v>
      </c>
    </row>
    <row r="173" spans="1:7" x14ac:dyDescent="0.25">
      <c r="A173" t="s">
        <v>192</v>
      </c>
      <c r="E173" t="str">
        <f>IF(OR(C173="",D173=""),"",C173/D173)</f>
        <v/>
      </c>
      <c r="G173" t="b">
        <v>0</v>
      </c>
    </row>
    <row r="174" spans="1:7" x14ac:dyDescent="0.25">
      <c r="A174" t="s">
        <v>193</v>
      </c>
      <c r="E174" t="str">
        <f>IF(OR(C174="",D174=""),"",C174/D174)</f>
        <v/>
      </c>
      <c r="G174" t="b">
        <v>0</v>
      </c>
    </row>
    <row r="175" spans="1:7" x14ac:dyDescent="0.25">
      <c r="A175" t="s">
        <v>194</v>
      </c>
      <c r="E175" t="str">
        <f>IF(OR(C175="",D175=""),"",C175/D175)</f>
        <v/>
      </c>
      <c r="G175" t="b">
        <v>0</v>
      </c>
    </row>
    <row r="176" spans="1:7" x14ac:dyDescent="0.25">
      <c r="A176" t="s">
        <v>195</v>
      </c>
      <c r="E176" t="str">
        <f>IF(OR(C176="",D176=""),"",C176/D176)</f>
        <v/>
      </c>
      <c r="G176" t="b">
        <v>0</v>
      </c>
    </row>
    <row r="177" spans="1:8" x14ac:dyDescent="0.25">
      <c r="A177" t="s">
        <v>196</v>
      </c>
      <c r="E177" t="str">
        <f>IF(OR(C177="",D177=""),"",C177/D177)</f>
        <v/>
      </c>
      <c r="G177" t="b">
        <v>0</v>
      </c>
    </row>
    <row r="178" spans="1:8" x14ac:dyDescent="0.25">
      <c r="A178" t="s">
        <v>198</v>
      </c>
      <c r="E178" t="str">
        <f>IF(OR(C178="",D178=""),"",C178/D178)</f>
        <v/>
      </c>
      <c r="G178" t="b">
        <v>0</v>
      </c>
    </row>
    <row r="179" spans="1:8" x14ac:dyDescent="0.25">
      <c r="A179" t="s">
        <v>199</v>
      </c>
      <c r="E179" t="str">
        <f>IF(OR(C179="",D179=""),"",C179/D179)</f>
        <v/>
      </c>
      <c r="G179" t="b">
        <v>0</v>
      </c>
    </row>
    <row r="180" spans="1:8" x14ac:dyDescent="0.25">
      <c r="A180" t="s">
        <v>200</v>
      </c>
      <c r="E180" t="str">
        <f>IF(OR(C180="",D180=""),"",C180/D180)</f>
        <v/>
      </c>
      <c r="G180" t="b">
        <v>0</v>
      </c>
    </row>
    <row r="181" spans="1:8" x14ac:dyDescent="0.25">
      <c r="A181" t="s">
        <v>201</v>
      </c>
      <c r="E181" t="str">
        <f>IF(OR(C181="",D181=""),"",C181/D181)</f>
        <v/>
      </c>
      <c r="G181" t="b">
        <v>0</v>
      </c>
    </row>
    <row r="182" spans="1:8" x14ac:dyDescent="0.25">
      <c r="A182" t="s">
        <v>202</v>
      </c>
      <c r="E182" t="str">
        <f>IF(OR(C182="",D182=""),"",C182/D182)</f>
        <v/>
      </c>
      <c r="G182" t="b">
        <v>0</v>
      </c>
    </row>
    <row r="183" spans="1:8" x14ac:dyDescent="0.25">
      <c r="A183" t="s">
        <v>197</v>
      </c>
      <c r="E183" t="str">
        <f>IF(OR(C183="",D183=""),"",C183/D183)</f>
        <v/>
      </c>
      <c r="G183" t="b">
        <v>0</v>
      </c>
    </row>
    <row r="184" spans="1:8" x14ac:dyDescent="0.25">
      <c r="A184" t="s">
        <v>203</v>
      </c>
      <c r="B184" t="s">
        <v>204</v>
      </c>
      <c r="C184">
        <v>400</v>
      </c>
      <c r="D184">
        <v>1</v>
      </c>
      <c r="E184">
        <f>IF(OR(C184="",D184=""),"",C184/D184)</f>
        <v>400</v>
      </c>
      <c r="G184" t="b">
        <v>0</v>
      </c>
      <c r="H184" t="s">
        <v>30</v>
      </c>
    </row>
    <row r="185" spans="1:8" x14ac:dyDescent="0.25">
      <c r="A185" t="s">
        <v>205</v>
      </c>
      <c r="E185" t="str">
        <f>IF(OR(C185="",D185=""),"",C185/D185)</f>
        <v/>
      </c>
      <c r="G185" t="b">
        <v>0</v>
      </c>
    </row>
    <row r="186" spans="1:8" x14ac:dyDescent="0.25">
      <c r="A186" t="s">
        <v>206</v>
      </c>
      <c r="E186" t="str">
        <f>IF(OR(C186="",D186=""),"",C186/D186)</f>
        <v/>
      </c>
      <c r="G186" t="b">
        <v>0</v>
      </c>
    </row>
    <row r="187" spans="1:8" x14ac:dyDescent="0.25">
      <c r="A187" t="s">
        <v>207</v>
      </c>
      <c r="E187" t="str">
        <f>IF(OR(C187="",D187=""),"",C187/D187)</f>
        <v/>
      </c>
      <c r="G187" t="b">
        <v>0</v>
      </c>
    </row>
    <row r="188" spans="1:8" x14ac:dyDescent="0.25">
      <c r="A188" t="s">
        <v>208</v>
      </c>
      <c r="B188" t="s">
        <v>209</v>
      </c>
      <c r="C188">
        <v>0.05</v>
      </c>
      <c r="D188">
        <v>1</v>
      </c>
      <c r="E188">
        <f>IF(OR(C188="",D188=""),"",C188/D188)</f>
        <v>0.05</v>
      </c>
      <c r="G188" t="b">
        <v>0</v>
      </c>
      <c r="H188" t="s">
        <v>30</v>
      </c>
    </row>
    <row r="189" spans="1:8" x14ac:dyDescent="0.25">
      <c r="A189" t="s">
        <v>245</v>
      </c>
      <c r="E189" t="str">
        <f>IF(OR(C189="",D189=""),"",C189/D189)</f>
        <v/>
      </c>
      <c r="G189" t="b">
        <v>0</v>
      </c>
    </row>
    <row r="190" spans="1:8" x14ac:dyDescent="0.25">
      <c r="A190" t="s">
        <v>210</v>
      </c>
      <c r="E190" t="str">
        <f>IF(OR(C190="",D190=""),"",C190/D190)</f>
        <v/>
      </c>
      <c r="G190" t="b">
        <v>0</v>
      </c>
    </row>
    <row r="191" spans="1:8" x14ac:dyDescent="0.25">
      <c r="A191" t="s">
        <v>211</v>
      </c>
      <c r="E191" t="str">
        <f>IF(OR(C191="",D191=""),"",C191/D191)</f>
        <v/>
      </c>
      <c r="G191" t="b">
        <v>0</v>
      </c>
    </row>
    <row r="192" spans="1:8" x14ac:dyDescent="0.25">
      <c r="A192" t="s">
        <v>212</v>
      </c>
      <c r="E192" t="str">
        <f>IF(OR(C192="",D192=""),"",C192/D192)</f>
        <v/>
      </c>
      <c r="G192" t="b">
        <v>0</v>
      </c>
    </row>
    <row r="193" spans="1:7" x14ac:dyDescent="0.25">
      <c r="A193" t="s">
        <v>213</v>
      </c>
      <c r="E193" t="str">
        <f>IF(OR(C193="",D193=""),"",C193/D193)</f>
        <v/>
      </c>
      <c r="G193" t="b">
        <v>0</v>
      </c>
    </row>
    <row r="194" spans="1:7" x14ac:dyDescent="0.25">
      <c r="A194" t="s">
        <v>214</v>
      </c>
      <c r="E194" t="str">
        <f>IF(OR(C194="",D194=""),"",C194/D194)</f>
        <v/>
      </c>
      <c r="G194" t="b">
        <v>0</v>
      </c>
    </row>
    <row r="195" spans="1:7" x14ac:dyDescent="0.25">
      <c r="A195" t="s">
        <v>215</v>
      </c>
      <c r="E195" t="str">
        <f>IF(OR(C195="",D195=""),"",C195/D195)</f>
        <v/>
      </c>
      <c r="G195" t="b">
        <v>0</v>
      </c>
    </row>
    <row r="196" spans="1:7" x14ac:dyDescent="0.25">
      <c r="A196" t="s">
        <v>216</v>
      </c>
      <c r="E196" t="str">
        <f>IF(OR(C196="",D196=""),"",C196/D196)</f>
        <v/>
      </c>
      <c r="G196" t="b">
        <v>0</v>
      </c>
    </row>
    <row r="197" spans="1:7" x14ac:dyDescent="0.25">
      <c r="A197" t="s">
        <v>217</v>
      </c>
      <c r="E197" t="str">
        <f>IF(OR(C197="",D197=""),"",C197/D197)</f>
        <v/>
      </c>
      <c r="G197" t="b">
        <v>0</v>
      </c>
    </row>
    <row r="198" spans="1:7" x14ac:dyDescent="0.25">
      <c r="A198" t="s">
        <v>218</v>
      </c>
      <c r="E198" t="str">
        <f>IF(OR(C198="",D198=""),"",C198/D198)</f>
        <v/>
      </c>
      <c r="G198" t="b">
        <v>0</v>
      </c>
    </row>
    <row r="199" spans="1:7" x14ac:dyDescent="0.25">
      <c r="A199" t="s">
        <v>219</v>
      </c>
      <c r="E199" t="str">
        <f>IF(OR(C199="",D199=""),"",C199/D199)</f>
        <v/>
      </c>
      <c r="G199" t="b">
        <v>0</v>
      </c>
    </row>
    <row r="200" spans="1:7" x14ac:dyDescent="0.25">
      <c r="A200" t="s">
        <v>220</v>
      </c>
      <c r="E200" t="str">
        <f>IF(OR(C200="",D200=""),"",C200/D200)</f>
        <v/>
      </c>
      <c r="G200" t="b">
        <v>0</v>
      </c>
    </row>
    <row r="201" spans="1:7" x14ac:dyDescent="0.25">
      <c r="A201" t="s">
        <v>221</v>
      </c>
      <c r="E201" t="str">
        <f>IF(OR(C201="",D201=""),"",C201/D201)</f>
        <v/>
      </c>
      <c r="G201" t="b">
        <v>0</v>
      </c>
    </row>
    <row r="202" spans="1:7" x14ac:dyDescent="0.25">
      <c r="A202" t="s">
        <v>222</v>
      </c>
      <c r="E202" t="str">
        <f>IF(OR(C202="",D202=""),"",C202/D202)</f>
        <v/>
      </c>
      <c r="G202" t="b">
        <v>0</v>
      </c>
    </row>
    <row r="203" spans="1:7" x14ac:dyDescent="0.25">
      <c r="A203" t="s">
        <v>223</v>
      </c>
      <c r="E203" t="str">
        <f>IF(OR(C203="",D203=""),"",C203/D203)</f>
        <v/>
      </c>
      <c r="G203" t="b">
        <v>0</v>
      </c>
    </row>
    <row r="204" spans="1:7" x14ac:dyDescent="0.25">
      <c r="A204" t="s">
        <v>224</v>
      </c>
      <c r="E204" t="str">
        <f>IF(OR(C204="",D204=""),"",C204/D204)</f>
        <v/>
      </c>
      <c r="G204" t="b">
        <v>0</v>
      </c>
    </row>
    <row r="205" spans="1:7" x14ac:dyDescent="0.25">
      <c r="A205" t="s">
        <v>225</v>
      </c>
      <c r="E205" t="str">
        <f>IF(OR(C205="",D205=""),"",C205/D205)</f>
        <v/>
      </c>
      <c r="G205" t="b">
        <v>0</v>
      </c>
    </row>
    <row r="206" spans="1:7" x14ac:dyDescent="0.25">
      <c r="A206" t="s">
        <v>226</v>
      </c>
      <c r="E206" t="str">
        <f>IF(OR(C206="",D206=""),"",C206/D206)</f>
        <v/>
      </c>
      <c r="G206" t="b">
        <v>0</v>
      </c>
    </row>
  </sheetData>
  <sortState xmlns:xlrd2="http://schemas.microsoft.com/office/spreadsheetml/2017/richdata2" ref="A2:H206">
    <sortCondition ref="A2:A206"/>
  </sortState>
  <conditionalFormatting sqref="G2:G1667">
    <cfRule type="cellIs" dxfId="7" priority="1" operator="equal">
      <formula>FALSE</formula>
    </cfRule>
    <cfRule type="cellIs" dxfId="6" priority="2" operator="equal">
      <formula>TRUE</formula>
    </cfRule>
  </conditionalFormatting>
  <dataValidations count="1">
    <dataValidation type="list" allowBlank="1" errorTitle="Invalid Entry" error="Please select TRUE or FALSE" sqref="G2:G1667" xr:uid="{00000000-0002-0000-0100-000000000000}">
      <formula1>"TRUE,FALSE"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3"/>
  <sheetViews>
    <sheetView workbookViewId="0">
      <pane ySplit="1" topLeftCell="A2" activePane="bottomLeft" state="frozen"/>
      <selection pane="bottomLeft"/>
    </sheetView>
  </sheetViews>
  <sheetFormatPr defaultRowHeight="15" x14ac:dyDescent="0.25"/>
  <cols>
    <col min="1" max="4" width="14" customWidth="1"/>
  </cols>
  <sheetData>
    <row r="1" spans="1:4" x14ac:dyDescent="0.25">
      <c r="A1" s="3" t="s">
        <v>246</v>
      </c>
      <c r="B1" s="3" t="s">
        <v>247</v>
      </c>
      <c r="C1" s="3" t="s">
        <v>13</v>
      </c>
      <c r="D1" s="3" t="s">
        <v>14</v>
      </c>
    </row>
    <row r="2" spans="1:4" x14ac:dyDescent="0.25">
      <c r="A2" t="s">
        <v>248</v>
      </c>
      <c r="C2" t="b">
        <v>0</v>
      </c>
    </row>
    <row r="3" spans="1:4" x14ac:dyDescent="0.25">
      <c r="A3" t="s">
        <v>249</v>
      </c>
      <c r="C3" t="b">
        <v>0</v>
      </c>
    </row>
    <row r="4" spans="1:4" x14ac:dyDescent="0.25">
      <c r="A4" t="s">
        <v>250</v>
      </c>
      <c r="C4" t="b">
        <v>0</v>
      </c>
    </row>
    <row r="5" spans="1:4" x14ac:dyDescent="0.25">
      <c r="A5" t="s">
        <v>251</v>
      </c>
      <c r="C5" t="b">
        <v>0</v>
      </c>
    </row>
    <row r="6" spans="1:4" x14ac:dyDescent="0.25">
      <c r="A6" t="s">
        <v>252</v>
      </c>
      <c r="C6" t="b">
        <v>0</v>
      </c>
    </row>
    <row r="7" spans="1:4" x14ac:dyDescent="0.25">
      <c r="A7" t="s">
        <v>253</v>
      </c>
      <c r="C7" t="b">
        <v>0</v>
      </c>
    </row>
    <row r="8" spans="1:4" x14ac:dyDescent="0.25">
      <c r="A8" t="s">
        <v>254</v>
      </c>
      <c r="C8" t="b">
        <v>0</v>
      </c>
    </row>
    <row r="9" spans="1:4" x14ac:dyDescent="0.25">
      <c r="A9" t="s">
        <v>255</v>
      </c>
      <c r="C9" t="b">
        <v>0</v>
      </c>
    </row>
    <row r="10" spans="1:4" x14ac:dyDescent="0.25">
      <c r="A10" t="s">
        <v>256</v>
      </c>
      <c r="C10" t="b">
        <v>0</v>
      </c>
    </row>
    <row r="11" spans="1:4" x14ac:dyDescent="0.25">
      <c r="A11" t="s">
        <v>257</v>
      </c>
      <c r="C11" t="b">
        <v>0</v>
      </c>
    </row>
    <row r="12" spans="1:4" x14ac:dyDescent="0.25">
      <c r="A12" t="s">
        <v>258</v>
      </c>
      <c r="C12" t="b">
        <v>0</v>
      </c>
    </row>
    <row r="13" spans="1:4" x14ac:dyDescent="0.25">
      <c r="A13" t="s">
        <v>259</v>
      </c>
      <c r="C13" t="b">
        <v>0</v>
      </c>
    </row>
    <row r="14" spans="1:4" x14ac:dyDescent="0.25">
      <c r="A14" t="s">
        <v>260</v>
      </c>
      <c r="C14" t="b">
        <v>0</v>
      </c>
    </row>
    <row r="15" spans="1:4" x14ac:dyDescent="0.25">
      <c r="A15" t="s">
        <v>261</v>
      </c>
      <c r="C15" t="b">
        <v>0</v>
      </c>
    </row>
    <row r="16" spans="1:4" x14ac:dyDescent="0.25">
      <c r="A16" t="s">
        <v>262</v>
      </c>
      <c r="C16" t="b">
        <v>0</v>
      </c>
    </row>
    <row r="17" spans="1:3" x14ac:dyDescent="0.25">
      <c r="A17" t="s">
        <v>263</v>
      </c>
      <c r="C17" t="b">
        <v>0</v>
      </c>
    </row>
    <row r="18" spans="1:3" x14ac:dyDescent="0.25">
      <c r="A18" t="s">
        <v>264</v>
      </c>
      <c r="C18" t="b">
        <v>0</v>
      </c>
    </row>
    <row r="19" spans="1:3" x14ac:dyDescent="0.25">
      <c r="A19" t="s">
        <v>265</v>
      </c>
      <c r="C19" t="b">
        <v>0</v>
      </c>
    </row>
    <row r="20" spans="1:3" x14ac:dyDescent="0.25">
      <c r="A20" t="s">
        <v>266</v>
      </c>
      <c r="C20" t="b">
        <v>0</v>
      </c>
    </row>
    <row r="21" spans="1:3" x14ac:dyDescent="0.25">
      <c r="A21" t="s">
        <v>267</v>
      </c>
      <c r="C21" t="b">
        <v>0</v>
      </c>
    </row>
    <row r="22" spans="1:3" x14ac:dyDescent="0.25">
      <c r="A22" t="s">
        <v>268</v>
      </c>
      <c r="C22" t="b">
        <v>0</v>
      </c>
    </row>
    <row r="23" spans="1:3" x14ac:dyDescent="0.25">
      <c r="A23" t="s">
        <v>269</v>
      </c>
      <c r="C23" t="b">
        <v>0</v>
      </c>
    </row>
    <row r="24" spans="1:3" x14ac:dyDescent="0.25">
      <c r="A24" t="s">
        <v>270</v>
      </c>
      <c r="C24" t="b">
        <v>0</v>
      </c>
    </row>
    <row r="25" spans="1:3" x14ac:dyDescent="0.25">
      <c r="A25" t="s">
        <v>271</v>
      </c>
      <c r="C25" t="b">
        <v>0</v>
      </c>
    </row>
    <row r="26" spans="1:3" x14ac:dyDescent="0.25">
      <c r="A26" t="s">
        <v>272</v>
      </c>
      <c r="C26" t="b">
        <v>0</v>
      </c>
    </row>
    <row r="27" spans="1:3" x14ac:dyDescent="0.25">
      <c r="A27" t="s">
        <v>273</v>
      </c>
      <c r="C27" t="b">
        <v>0</v>
      </c>
    </row>
    <row r="28" spans="1:3" x14ac:dyDescent="0.25">
      <c r="A28" t="s">
        <v>274</v>
      </c>
      <c r="C28" t="b">
        <v>0</v>
      </c>
    </row>
    <row r="29" spans="1:3" x14ac:dyDescent="0.25">
      <c r="A29" t="s">
        <v>275</v>
      </c>
      <c r="C29" t="b">
        <v>0</v>
      </c>
    </row>
    <row r="30" spans="1:3" x14ac:dyDescent="0.25">
      <c r="A30" t="s">
        <v>276</v>
      </c>
      <c r="C30" t="b">
        <v>0</v>
      </c>
    </row>
    <row r="31" spans="1:3" x14ac:dyDescent="0.25">
      <c r="A31" t="s">
        <v>277</v>
      </c>
      <c r="C31" t="b">
        <v>0</v>
      </c>
    </row>
    <row r="32" spans="1:3" x14ac:dyDescent="0.25">
      <c r="A32" t="s">
        <v>278</v>
      </c>
      <c r="C32" t="b">
        <v>0</v>
      </c>
    </row>
    <row r="33" spans="1:3" x14ac:dyDescent="0.25">
      <c r="A33" t="s">
        <v>279</v>
      </c>
      <c r="C33" t="b">
        <v>0</v>
      </c>
    </row>
  </sheetData>
  <conditionalFormatting sqref="C2:C2000">
    <cfRule type="cellIs" dxfId="5" priority="1" operator="equal">
      <formula>FALSE</formula>
    </cfRule>
    <cfRule type="cellIs" dxfId="4" priority="2" operator="equal">
      <formula>TRUE</formula>
    </cfRule>
  </conditionalFormatting>
  <dataValidations count="1">
    <dataValidation type="list" allowBlank="1" errorTitle="Invalid Entry" error="Please select TRUE or FALSE" sqref="C2:C2000" xr:uid="{00000000-0002-0000-0200-000000000000}">
      <formula1>"TRUE,FALSE"</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workbookViewId="0">
      <pane ySplit="1" topLeftCell="A2" activePane="bottomLeft" state="frozen"/>
      <selection pane="bottomLeft"/>
    </sheetView>
  </sheetViews>
  <sheetFormatPr defaultRowHeight="15" x14ac:dyDescent="0.25"/>
  <cols>
    <col min="1" max="1" width="14" customWidth="1"/>
    <col min="2" max="2" width="17" customWidth="1"/>
    <col min="3" max="3" width="14" customWidth="1"/>
  </cols>
  <sheetData>
    <row r="1" spans="1:3" x14ac:dyDescent="0.25">
      <c r="A1" s="3" t="s">
        <v>280</v>
      </c>
      <c r="B1" s="3" t="s">
        <v>281</v>
      </c>
      <c r="C1" s="3" t="s">
        <v>13</v>
      </c>
    </row>
    <row r="2" spans="1:3" x14ac:dyDescent="0.25">
      <c r="A2" t="s">
        <v>282</v>
      </c>
      <c r="C2" t="b">
        <v>0</v>
      </c>
    </row>
    <row r="3" spans="1:3" x14ac:dyDescent="0.25">
      <c r="A3" t="s">
        <v>283</v>
      </c>
      <c r="C3" t="b">
        <v>0</v>
      </c>
    </row>
    <row r="4" spans="1:3" x14ac:dyDescent="0.25">
      <c r="A4" t="s">
        <v>284</v>
      </c>
      <c r="C4" t="b">
        <v>0</v>
      </c>
    </row>
    <row r="5" spans="1:3" x14ac:dyDescent="0.25">
      <c r="A5" t="s">
        <v>285</v>
      </c>
      <c r="C5" t="b">
        <v>0</v>
      </c>
    </row>
  </sheetData>
  <conditionalFormatting sqref="C2:C2000">
    <cfRule type="cellIs" dxfId="3" priority="1" operator="equal">
      <formula>FALSE</formula>
    </cfRule>
    <cfRule type="cellIs" dxfId="2" priority="2" operator="equal">
      <formula>TRUE</formula>
    </cfRule>
  </conditionalFormatting>
  <dataValidations count="1">
    <dataValidation type="list" allowBlank="1" errorTitle="Invalid Entry" error="Please select TRUE or FALSE" sqref="C2:C2000" xr:uid="{00000000-0002-0000-0300-000000000000}">
      <formula1>"TRUE,FALSE"</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
  <sheetViews>
    <sheetView workbookViewId="0">
      <pane ySplit="1" topLeftCell="A2" activePane="bottomLeft" state="frozen"/>
      <selection pane="bottomLeft"/>
    </sheetView>
  </sheetViews>
  <sheetFormatPr defaultRowHeight="15" x14ac:dyDescent="0.25"/>
  <cols>
    <col min="1" max="3" width="14" customWidth="1"/>
    <col min="4" max="4" width="19" customWidth="1"/>
    <col min="5" max="7" width="14" customWidth="1"/>
  </cols>
  <sheetData>
    <row r="1" spans="1:7" x14ac:dyDescent="0.25">
      <c r="A1" s="3" t="s">
        <v>286</v>
      </c>
      <c r="B1" s="3" t="s">
        <v>287</v>
      </c>
      <c r="C1" s="3" t="s">
        <v>288</v>
      </c>
      <c r="D1" s="3" t="s">
        <v>289</v>
      </c>
      <c r="E1" s="3" t="s">
        <v>247</v>
      </c>
      <c r="F1" s="3" t="s">
        <v>13</v>
      </c>
      <c r="G1" s="3" t="s">
        <v>14</v>
      </c>
    </row>
    <row r="2" spans="1:7" x14ac:dyDescent="0.25">
      <c r="A2" t="s">
        <v>290</v>
      </c>
      <c r="C2" t="s">
        <v>291</v>
      </c>
      <c r="D2" t="s">
        <v>292</v>
      </c>
      <c r="F2" t="b">
        <v>0</v>
      </c>
    </row>
    <row r="3" spans="1:7" x14ac:dyDescent="0.25">
      <c r="A3" t="s">
        <v>293</v>
      </c>
      <c r="B3" t="s">
        <v>294</v>
      </c>
      <c r="C3" t="s">
        <v>295</v>
      </c>
      <c r="D3" t="s">
        <v>296</v>
      </c>
      <c r="F3" t="b">
        <v>0</v>
      </c>
    </row>
    <row r="4" spans="1:7" x14ac:dyDescent="0.25">
      <c r="A4" t="s">
        <v>297</v>
      </c>
      <c r="B4" t="s">
        <v>298</v>
      </c>
      <c r="C4" t="s">
        <v>295</v>
      </c>
      <c r="D4" t="s">
        <v>296</v>
      </c>
      <c r="F4" t="b">
        <v>0</v>
      </c>
    </row>
    <row r="5" spans="1:7" x14ac:dyDescent="0.25">
      <c r="A5" t="s">
        <v>299</v>
      </c>
      <c r="B5" t="s">
        <v>300</v>
      </c>
      <c r="C5" t="s">
        <v>295</v>
      </c>
      <c r="D5" t="s">
        <v>296</v>
      </c>
      <c r="F5" t="b">
        <v>0</v>
      </c>
    </row>
    <row r="6" spans="1:7" x14ac:dyDescent="0.25">
      <c r="A6" t="s">
        <v>301</v>
      </c>
      <c r="B6" t="s">
        <v>302</v>
      </c>
      <c r="C6" t="s">
        <v>295</v>
      </c>
      <c r="D6" t="s">
        <v>296</v>
      </c>
      <c r="F6" t="b">
        <v>0</v>
      </c>
    </row>
    <row r="7" spans="1:7" x14ac:dyDescent="0.25">
      <c r="A7" t="s">
        <v>303</v>
      </c>
      <c r="B7" t="s">
        <v>304</v>
      </c>
      <c r="C7" t="s">
        <v>295</v>
      </c>
      <c r="D7" t="s">
        <v>296</v>
      </c>
      <c r="F7" t="b">
        <v>0</v>
      </c>
    </row>
    <row r="8" spans="1:7" x14ac:dyDescent="0.25">
      <c r="A8" t="s">
        <v>305</v>
      </c>
      <c r="B8" t="s">
        <v>306</v>
      </c>
      <c r="C8" t="s">
        <v>295</v>
      </c>
      <c r="D8" t="s">
        <v>296</v>
      </c>
      <c r="F8" t="b">
        <v>0</v>
      </c>
    </row>
    <row r="9" spans="1:7" x14ac:dyDescent="0.25">
      <c r="A9" t="s">
        <v>307</v>
      </c>
      <c r="B9" t="s">
        <v>308</v>
      </c>
      <c r="C9" t="s">
        <v>295</v>
      </c>
      <c r="D9" t="s">
        <v>296</v>
      </c>
      <c r="F9" t="b">
        <v>0</v>
      </c>
    </row>
    <row r="10" spans="1:7" x14ac:dyDescent="0.25">
      <c r="A10" t="s">
        <v>309</v>
      </c>
      <c r="B10" t="s">
        <v>310</v>
      </c>
      <c r="C10" t="s">
        <v>295</v>
      </c>
      <c r="D10" t="s">
        <v>296</v>
      </c>
      <c r="F10" t="b">
        <v>0</v>
      </c>
    </row>
    <row r="11" spans="1:7" x14ac:dyDescent="0.25">
      <c r="A11" t="s">
        <v>311</v>
      </c>
      <c r="B11" t="s">
        <v>312</v>
      </c>
      <c r="C11" t="s">
        <v>295</v>
      </c>
      <c r="D11" t="s">
        <v>296</v>
      </c>
      <c r="F11" t="b">
        <v>0</v>
      </c>
    </row>
    <row r="12" spans="1:7" x14ac:dyDescent="0.25">
      <c r="A12" t="s">
        <v>313</v>
      </c>
      <c r="B12" t="s">
        <v>314</v>
      </c>
      <c r="C12" t="s">
        <v>295</v>
      </c>
      <c r="D12" t="s">
        <v>296</v>
      </c>
      <c r="F12" t="b">
        <v>0</v>
      </c>
    </row>
    <row r="13" spans="1:7" x14ac:dyDescent="0.25">
      <c r="A13" t="s">
        <v>315</v>
      </c>
      <c r="B13" t="s">
        <v>316</v>
      </c>
      <c r="C13" t="s">
        <v>295</v>
      </c>
      <c r="D13" t="s">
        <v>296</v>
      </c>
      <c r="F13" t="b">
        <v>0</v>
      </c>
    </row>
    <row r="14" spans="1:7" x14ac:dyDescent="0.25">
      <c r="A14" t="s">
        <v>317</v>
      </c>
      <c r="B14" t="s">
        <v>318</v>
      </c>
      <c r="C14" t="s">
        <v>295</v>
      </c>
      <c r="D14" t="s">
        <v>296</v>
      </c>
      <c r="F14" t="b">
        <v>0</v>
      </c>
    </row>
    <row r="15" spans="1:7" x14ac:dyDescent="0.25">
      <c r="A15" t="s">
        <v>319</v>
      </c>
      <c r="B15" t="s">
        <v>320</v>
      </c>
      <c r="C15" t="s">
        <v>295</v>
      </c>
      <c r="D15" t="s">
        <v>296</v>
      </c>
      <c r="F15" t="b">
        <v>0</v>
      </c>
    </row>
    <row r="16" spans="1:7" x14ac:dyDescent="0.25">
      <c r="A16" t="s">
        <v>321</v>
      </c>
      <c r="B16" t="s">
        <v>322</v>
      </c>
      <c r="C16" t="s">
        <v>295</v>
      </c>
      <c r="D16" t="s">
        <v>296</v>
      </c>
      <c r="F16" t="b">
        <v>0</v>
      </c>
    </row>
    <row r="17" spans="1:6" x14ac:dyDescent="0.25">
      <c r="A17" t="s">
        <v>323</v>
      </c>
      <c r="B17" t="s">
        <v>324</v>
      </c>
      <c r="C17" t="s">
        <v>295</v>
      </c>
      <c r="D17" t="s">
        <v>296</v>
      </c>
      <c r="F17" t="b">
        <v>0</v>
      </c>
    </row>
    <row r="18" spans="1:6" x14ac:dyDescent="0.25">
      <c r="A18" t="s">
        <v>325</v>
      </c>
      <c r="B18" t="s">
        <v>326</v>
      </c>
      <c r="C18" t="s">
        <v>295</v>
      </c>
      <c r="D18" t="s">
        <v>296</v>
      </c>
      <c r="F18" t="b">
        <v>0</v>
      </c>
    </row>
    <row r="19" spans="1:6" x14ac:dyDescent="0.25">
      <c r="A19" t="s">
        <v>327</v>
      </c>
      <c r="B19" t="s">
        <v>328</v>
      </c>
      <c r="C19" t="s">
        <v>295</v>
      </c>
      <c r="D19" t="s">
        <v>296</v>
      </c>
      <c r="F19" t="b">
        <v>0</v>
      </c>
    </row>
    <row r="20" spans="1:6" x14ac:dyDescent="0.25">
      <c r="A20" t="s">
        <v>329</v>
      </c>
      <c r="B20" t="s">
        <v>330</v>
      </c>
      <c r="C20" t="s">
        <v>295</v>
      </c>
      <c r="D20" t="s">
        <v>296</v>
      </c>
      <c r="F20" t="b">
        <v>0</v>
      </c>
    </row>
  </sheetData>
  <conditionalFormatting sqref="F2:F2000">
    <cfRule type="cellIs" dxfId="1" priority="1" operator="equal">
      <formula>FALSE</formula>
    </cfRule>
    <cfRule type="cellIs" dxfId="0" priority="2" operator="equal">
      <formula>TRUE</formula>
    </cfRule>
  </conditionalFormatting>
  <dataValidations count="4">
    <dataValidation type="list" allowBlank="1" errorTitle="Invalid Entry" error="Please select from the dropdown list" sqref="C2:C2000" xr:uid="{00000000-0002-0000-0400-000000000000}">
      <formula1>"Capital,Maintenance,Overhead,End-of-Life"</formula1>
    </dataValidation>
    <dataValidation type="list" allowBlank="1" errorTitle="Invalid Entry" error="Please select from the dropdown list" sqref="D2:D2000" xr:uid="{00000000-0002-0000-0400-000001000000}">
      <formula1>"per batch,per sample,per hour"</formula1>
    </dataValidation>
    <dataValidation type="list" allowBlank="1" errorTitle="Invalid Entry" error="Please select from the dropdown list" sqref="B2:B2000" xr:uid="{00000000-0002-0000-0400-000002000000}">
      <formula1>"HyWeighBox,HySolveBox,HySpinBox,HyPeroSpinBox,HyALDBox,HyVapBox,HyPeroVapBox,HyMessBox,HySnPbBox,ProtoSolveBox,ProtoVapBox,TinSpinBox,TinVapBox,TinHallBox,InkCoatBox,InkRollBox,InkVapBox,InkPatternBox,"</formula1>
    </dataValidation>
    <dataValidation type="list" allowBlank="1" errorTitle="Invalid Entry" error="Please select TRUE or FALSE" sqref="F2:F2000" xr:uid="{00000000-0002-0000-0400-000003000000}">
      <formula1>"TRUE,FALSE"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Guide</vt:lpstr>
      <vt:lpstr>Materials</vt:lpstr>
      <vt:lpstr>Processes</vt:lpstr>
      <vt:lpstr>Labor</vt:lpstr>
      <vt:lpstr>Capital_Overhead_Disposal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Nandayapa Bermudez, Edgar</cp:lastModifiedBy>
  <dcterms:created xsi:type="dcterms:W3CDTF">2026-08-04T12:33:32Z</dcterms:created>
  <dcterms:modified xsi:type="dcterms:W3CDTF">2026-08-05T09:04:22Z</dcterms:modified>
</cp:coreProperties>
</file>
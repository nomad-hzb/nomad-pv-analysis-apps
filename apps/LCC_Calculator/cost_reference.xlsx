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Materials" sheetId="2" state="visible" r:id="rId2"/>
    <sheet name="Processes" sheetId="3" state="visible" r:id="rId3"/>
    <sheet name="Labor" sheetId="4" state="visible" r:id="rId4"/>
    <sheet name="Capital_Overhead_Dispos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86AB"/>
        <bgColor rgb="002E86A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LCC Cost Reference - Guide (for admins)</t>
        </is>
      </c>
    </row>
    <row r="2">
      <c r="A2" s="2" t="inlineStr"/>
    </row>
    <row r="3">
      <c r="A3" s="2" t="inlineStr">
        <is>
          <t>Generated from: the static chemical reference list and known locations only (no NOMAD data scanned).</t>
        </is>
      </c>
    </row>
    <row r="4">
      <c r="A4" s="2" t="inlineStr"/>
    </row>
    <row r="5">
      <c r="A5" s="2" t="inlineStr">
        <is>
          <t>This is the single source of truth for cost figures. Every user's LCC Calculator session reads this same file automatically when exporting a batch's costing workbook - there is nothing for them to upload or configure.</t>
        </is>
      </c>
    </row>
    <row r="6">
      <c r="A6" s="2" t="inlineStr"/>
    </row>
    <row r="7">
      <c r="A7" s="2" t="inlineStr">
        <is>
          <t>To update a cost: edit the matching row's Cost_Est (and Low/High if you have a range) on the relevant sheet below, set Verified to TRUE, and save this file in place. The change is live for every user on their next export.</t>
        </is>
      </c>
    </row>
    <row r="8">
      <c r="A8" s="2" t="inlineStr"/>
    </row>
    <row r="9">
      <c r="A9" s="2" t="inlineStr">
        <is>
          <t>To add a new material/role/item: add a new row on the relevant sheet with a name that exactly matches what the app extracts from NOMAD (check an exported batch workbook's Materials/Capital_Overhead_Disposal sheets for the exact names in use) - matching is by exact text, so a typo means the row is silently ignored rather than applied. Labor is the exception: Role is always one of the 4 fixed tiers, no typos possible.</t>
        </is>
      </c>
    </row>
    <row r="10">
      <c r="A10" s="2" t="inlineStr"/>
    </row>
    <row r="11">
      <c r="A11" s="2" t="inlineStr">
        <is>
          <t>Materials sheet - Price and Grams_on_Bottle: enter what you paid for a bottle/container (Price) and how many grams it holds (Grams_on_Bottle) - Price_per_Gram_Est is computed automatically. Pre-seeded with rough starting estimates for common perovskite-fab chemicals (Verified=FALSE) - replace with your actual supplier prices and mark Verified=TRUE as you confirm each one.</t>
        </is>
      </c>
    </row>
    <row r="12">
      <c r="A12" s="2" t="inlineStr"/>
    </row>
    <row r="13">
      <c r="A13" s="2" t="inlineStr">
        <is>
          <t>Capital_Overhead_Disposal sheet - Location: pre-seeded with one equipment-depreciation placeholder per known glovebox/tool. See the per-batch export's Guide sheet for why raw NOMAD location text doesn't always match these names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7" customWidth="1" min="4" max="4"/>
    <col width="20" customWidth="1" min="5" max="5"/>
    <col width="14" customWidth="1" min="6" max="6"/>
    <col width="14" customWidth="1" min="7" max="7"/>
  </cols>
  <sheetData>
    <row r="1">
      <c r="A1" s="3" t="inlineStr">
        <is>
          <t>Material_Name</t>
        </is>
      </c>
      <c r="B1" s="3" t="inlineStr">
        <is>
          <t>CAS_Number</t>
        </is>
      </c>
      <c r="C1" s="3" t="inlineStr">
        <is>
          <t>Price</t>
        </is>
      </c>
      <c r="D1" s="3" t="inlineStr">
        <is>
          <t>Grams_on_Bottle</t>
        </is>
      </c>
      <c r="E1" s="3" t="inlineStr">
        <is>
          <t>Price_per_Gram_Est</t>
        </is>
      </c>
      <c r="F1" s="3" t="inlineStr">
        <is>
          <t>Verified</t>
        </is>
      </c>
      <c r="G1" s="3" t="inlineStr">
        <is>
          <t>Notes</t>
        </is>
      </c>
    </row>
    <row r="2">
      <c r="A2" t="inlineStr">
        <is>
          <t>4-tert-Butylpyridine</t>
        </is>
      </c>
      <c r="B2" t="inlineStr">
        <is>
          <t>3978-81-2</t>
        </is>
      </c>
      <c r="C2" t="n">
        <v>1</v>
      </c>
      <c r="D2" t="n">
        <v>1</v>
      </c>
      <c r="E2">
        <f>IF(OR(C2="",D2=""),"",C2/D2)</f>
        <v/>
      </c>
      <c r="F2" t="b">
        <v>0</v>
      </c>
      <c r="G2" t="inlineStr">
        <is>
          <t>Rough estimate based on general market knowledge, not a live supplier lookup - please confirm against your actual supplier/contract price.</t>
        </is>
      </c>
    </row>
    <row r="3">
      <c r="A3" t="inlineStr">
        <is>
          <t>C60</t>
        </is>
      </c>
      <c r="B3" t="inlineStr">
        <is>
          <t>99685-96-8</t>
        </is>
      </c>
      <c r="C3" t="n">
        <v>50</v>
      </c>
      <c r="D3" t="n">
        <v>1</v>
      </c>
      <c r="E3">
        <f>IF(OR(C3="",D3=""),"",C3/D3)</f>
        <v/>
      </c>
      <c r="F3" t="b">
        <v>0</v>
      </c>
      <c r="G3" t="inlineStr">
        <is>
          <t>Rough estimate based on general market knowledge, not a live supplier lookup - please confirm against your actual supplier/contract price.</t>
        </is>
      </c>
    </row>
    <row r="4">
      <c r="A4" t="inlineStr">
        <is>
          <t>Chlorobenzene</t>
        </is>
      </c>
      <c r="B4" t="inlineStr">
        <is>
          <t>108-90-7</t>
        </is>
      </c>
      <c r="C4" t="n">
        <v>0.1</v>
      </c>
      <c r="D4" t="n">
        <v>1</v>
      </c>
      <c r="E4">
        <f>IF(OR(C4="",D4=""),"",C4/D4)</f>
        <v/>
      </c>
      <c r="F4" t="b">
        <v>0</v>
      </c>
      <c r="G4" t="inlineStr">
        <is>
          <t>Rough estimate based on general market knowledge, not a live supplier lookup - please confirm against your actual supplier/contract price.</t>
        </is>
      </c>
    </row>
    <row r="5">
      <c r="A5" t="inlineStr">
        <is>
          <t>Cs2CO3</t>
        </is>
      </c>
      <c r="B5" t="inlineStr">
        <is>
          <t>534-17-8</t>
        </is>
      </c>
      <c r="C5" t="n">
        <v>3</v>
      </c>
      <c r="D5" t="n">
        <v>1</v>
      </c>
      <c r="E5">
        <f>IF(OR(C5="",D5=""),"",C5/D5)</f>
        <v/>
      </c>
      <c r="F5" t="b">
        <v>0</v>
      </c>
      <c r="G5" t="inlineStr">
        <is>
          <t>Rough estimate based on general market knowledge, not a live supplier lookup - please confirm against your actual supplier/contract price.</t>
        </is>
      </c>
    </row>
    <row r="6">
      <c r="A6" t="inlineStr">
        <is>
          <t>CsI</t>
        </is>
      </c>
      <c r="B6" t="inlineStr">
        <is>
          <t>7789-17-5</t>
        </is>
      </c>
      <c r="C6" t="n">
        <v>2</v>
      </c>
      <c r="D6" t="n">
        <v>1</v>
      </c>
      <c r="E6">
        <f>IF(OR(C6="",D6=""),"",C6/D6)</f>
        <v/>
      </c>
      <c r="F6" t="b">
        <v>0</v>
      </c>
      <c r="G6" t="inlineStr">
        <is>
          <t>Rough estimate based on general market knowledge, not a live supplier lookup - please confirm against your actual supplier/contract price.</t>
        </is>
      </c>
    </row>
    <row r="7">
      <c r="A7" t="inlineStr">
        <is>
          <t>DMF</t>
        </is>
      </c>
      <c r="B7" t="inlineStr">
        <is>
          <t>68-12-2</t>
        </is>
      </c>
      <c r="C7" t="n">
        <v>0.1</v>
      </c>
      <c r="D7" t="n">
        <v>1</v>
      </c>
      <c r="E7">
        <f>IF(OR(C7="",D7=""),"",C7/D7)</f>
        <v/>
      </c>
      <c r="F7" t="b">
        <v>0</v>
      </c>
      <c r="G7" t="inlineStr">
        <is>
          <t>Rough estimate based on general market knowledge, not a live supplier lookup - please confirm against your actual supplier/contract price.</t>
        </is>
      </c>
    </row>
    <row r="8">
      <c r="A8" t="inlineStr">
        <is>
          <t>DMSO</t>
        </is>
      </c>
      <c r="B8" t="inlineStr">
        <is>
          <t>67-68-5</t>
        </is>
      </c>
      <c r="C8" t="n">
        <v>0.1</v>
      </c>
      <c r="D8" t="n">
        <v>1</v>
      </c>
      <c r="E8">
        <f>IF(OR(C8="",D8=""),"",C8/D8)</f>
        <v/>
      </c>
      <c r="F8" t="b">
        <v>0</v>
      </c>
      <c r="G8" t="inlineStr">
        <is>
          <t>Rough estimate based on general market knowledge, not a live supplier lookup - please confirm against your actual supplier/contract price.</t>
        </is>
      </c>
    </row>
    <row r="9">
      <c r="A9" t="inlineStr">
        <is>
          <t>FABr</t>
        </is>
      </c>
      <c r="B9" t="inlineStr">
        <is>
          <t>1197196-79-2</t>
        </is>
      </c>
      <c r="C9" t="n">
        <v>20</v>
      </c>
      <c r="D9" t="n">
        <v>1</v>
      </c>
      <c r="E9">
        <f>IF(OR(C9="",D9=""),"",C9/D9)</f>
        <v/>
      </c>
      <c r="F9" t="b">
        <v>0</v>
      </c>
      <c r="G9" t="inlineStr">
        <is>
          <t>Rough estimate based on general market knowledge, not a live supplier lookup - please confirm against your actual supplier/contract price.</t>
        </is>
      </c>
    </row>
    <row r="10">
      <c r="A10" t="inlineStr">
        <is>
          <t>FAI</t>
        </is>
      </c>
      <c r="B10" t="inlineStr">
        <is>
          <t>879643-71-7</t>
        </is>
      </c>
      <c r="C10" t="n">
        <v>20</v>
      </c>
      <c r="D10" t="n">
        <v>1</v>
      </c>
      <c r="E10">
        <f>IF(OR(C10="",D10=""),"",C10/D10)</f>
        <v/>
      </c>
      <c r="F10" t="b">
        <v>0</v>
      </c>
      <c r="G10" t="inlineStr">
        <is>
          <t>Rough estimate based on general market knowledge, not a live supplier lookup - please confirm against your actual supplier/contract price.</t>
        </is>
      </c>
    </row>
    <row r="11">
      <c r="A11" t="inlineStr">
        <is>
          <t>GBL</t>
        </is>
      </c>
      <c r="B11" t="inlineStr">
        <is>
          <t>96-48-0</t>
        </is>
      </c>
      <c r="C11" t="n">
        <v>0.2</v>
      </c>
      <c r="D11" t="n">
        <v>1</v>
      </c>
      <c r="E11">
        <f>IF(OR(C11="",D11=""),"",C11/D11)</f>
        <v/>
      </c>
      <c r="F11" t="b">
        <v>0</v>
      </c>
      <c r="G11" t="inlineStr">
        <is>
          <t>Rough estimate based on general market knowledge, not a live supplier lookup - please confirm against your actual supplier/contract price.</t>
        </is>
      </c>
    </row>
    <row r="12">
      <c r="A12" t="inlineStr">
        <is>
          <t>IPA</t>
        </is>
      </c>
      <c r="B12" t="inlineStr">
        <is>
          <t>67-63-0</t>
        </is>
      </c>
      <c r="C12" t="n">
        <v>0.05</v>
      </c>
      <c r="D12" t="n">
        <v>1</v>
      </c>
      <c r="E12">
        <f>IF(OR(C12="",D12=""),"",C12/D12)</f>
        <v/>
      </c>
      <c r="F12" t="b">
        <v>0</v>
      </c>
      <c r="G12" t="inlineStr">
        <is>
          <t>Rough estimate based on general market knowledge, not a live supplier lookup - please confirm against your actual supplier/contract price.</t>
        </is>
      </c>
    </row>
    <row r="13">
      <c r="A13" t="inlineStr">
        <is>
          <t>Li-TFSI</t>
        </is>
      </c>
      <c r="B13" t="inlineStr">
        <is>
          <t>90076-65-6</t>
        </is>
      </c>
      <c r="C13" t="n">
        <v>10</v>
      </c>
      <c r="D13" t="n">
        <v>1</v>
      </c>
      <c r="E13">
        <f>IF(OR(C13="",D13=""),"",C13/D13)</f>
        <v/>
      </c>
      <c r="F13" t="b">
        <v>0</v>
      </c>
      <c r="G13" t="inlineStr">
        <is>
          <t>Rough estimate based on general market knowledge, not a live supplier lookup - please confirm against your actual supplier/contract price.</t>
        </is>
      </c>
    </row>
    <row r="14">
      <c r="A14" t="inlineStr">
        <is>
          <t>MABr</t>
        </is>
      </c>
      <c r="B14" t="inlineStr">
        <is>
          <t>18617-60-8</t>
        </is>
      </c>
      <c r="C14" t="n">
        <v>15</v>
      </c>
      <c r="D14" t="n">
        <v>1</v>
      </c>
      <c r="E14">
        <f>IF(OR(C14="",D14=""),"",C14/D14)</f>
        <v/>
      </c>
      <c r="F14" t="b">
        <v>0</v>
      </c>
      <c r="G14" t="inlineStr">
        <is>
          <t>Rough estimate based on general market knowledge, not a live supplier lookup - please confirm against your actual supplier/contract price.</t>
        </is>
      </c>
    </row>
    <row r="15">
      <c r="A15" t="inlineStr">
        <is>
          <t>MACl</t>
        </is>
      </c>
      <c r="B15" t="inlineStr">
        <is>
          <t>593-51-1</t>
        </is>
      </c>
      <c r="C15" t="n">
        <v>5</v>
      </c>
      <c r="D15" t="n">
        <v>1</v>
      </c>
      <c r="E15">
        <f>IF(OR(C15="",D15=""),"",C15/D15)</f>
        <v/>
      </c>
      <c r="F15" t="b">
        <v>0</v>
      </c>
      <c r="G15" t="inlineStr">
        <is>
          <t>Rough estimate based on general market knowledge, not a live supplier lookup - please confirm against your actual supplier/contract price.</t>
        </is>
      </c>
    </row>
    <row r="16">
      <c r="A16" t="inlineStr">
        <is>
          <t>MAI</t>
        </is>
      </c>
      <c r="B16" t="inlineStr">
        <is>
          <t>14965-49-2</t>
        </is>
      </c>
      <c r="C16" t="n">
        <v>15</v>
      </c>
      <c r="D16" t="n">
        <v>1</v>
      </c>
      <c r="E16">
        <f>IF(OR(C16="",D16=""),"",C16/D16)</f>
        <v/>
      </c>
      <c r="F16" t="b">
        <v>0</v>
      </c>
      <c r="G16" t="inlineStr">
        <is>
          <t>Rough estimate based on general market knowledge, not a live supplier lookup - please confirm against your actual supplier/contract price.</t>
        </is>
      </c>
    </row>
    <row r="17">
      <c r="A17" t="inlineStr">
        <is>
          <t>PCBM</t>
        </is>
      </c>
      <c r="B17" t="inlineStr">
        <is>
          <t>160848-22-6</t>
        </is>
      </c>
      <c r="C17" t="n">
        <v>100</v>
      </c>
      <c r="D17" t="n">
        <v>1</v>
      </c>
      <c r="E17">
        <f>IF(OR(C17="",D17=""),"",C17/D17)</f>
        <v/>
      </c>
      <c r="F17" t="b">
        <v>0</v>
      </c>
      <c r="G17" t="inlineStr">
        <is>
          <t>Rough estimate based on general market knowledge, not a live supplier lookup - please confirm against your actual supplier/contract price.</t>
        </is>
      </c>
    </row>
    <row r="18">
      <c r="A18" t="inlineStr">
        <is>
          <t>PbBr2</t>
        </is>
      </c>
      <c r="B18" t="inlineStr">
        <is>
          <t>10031-22-8</t>
        </is>
      </c>
      <c r="C18" t="n">
        <v>3</v>
      </c>
      <c r="D18" t="n">
        <v>1</v>
      </c>
      <c r="E18">
        <f>IF(OR(C18="",D18=""),"",C18/D18)</f>
        <v/>
      </c>
      <c r="F18" t="b">
        <v>0</v>
      </c>
      <c r="G18" t="inlineStr">
        <is>
          <t>Rough estimate based on general market knowledge, not a live supplier lookup - please confirm against your actual supplier/contract price.</t>
        </is>
      </c>
    </row>
    <row r="19">
      <c r="A19" t="inlineStr">
        <is>
          <t>PbI2</t>
        </is>
      </c>
      <c r="B19" t="inlineStr">
        <is>
          <t>10101-63-0</t>
        </is>
      </c>
      <c r="C19" t="n">
        <v>3</v>
      </c>
      <c r="D19" t="n">
        <v>1</v>
      </c>
      <c r="E19">
        <f>IF(OR(C19="",D19=""),"",C19/D19)</f>
        <v/>
      </c>
      <c r="F19" t="b">
        <v>0</v>
      </c>
      <c r="G19" t="inlineStr">
        <is>
          <t>Rough estimate based on general market knowledge, not a live supplier lookup - please confirm against your actual supplier/contract price.</t>
        </is>
      </c>
    </row>
    <row r="20">
      <c r="A20" t="inlineStr">
        <is>
          <t>Spiro-OMeTAD</t>
        </is>
      </c>
      <c r="B20" t="inlineStr">
        <is>
          <t>741909-64-2</t>
        </is>
      </c>
      <c r="C20" t="n">
        <v>400</v>
      </c>
      <c r="D20" t="n">
        <v>1</v>
      </c>
      <c r="E20">
        <f>IF(OR(C20="",D20=""),"",C20/D20)</f>
        <v/>
      </c>
      <c r="F20" t="b">
        <v>0</v>
      </c>
      <c r="G20" t="inlineStr">
        <is>
          <t>Rough estimate based on general market knowledge, not a live supplier lookup - please confirm against your actual supplier/contract price.</t>
        </is>
      </c>
    </row>
    <row r="21">
      <c r="A21" t="inlineStr">
        <is>
          <t>Toluene</t>
        </is>
      </c>
      <c r="B21" t="inlineStr">
        <is>
          <t>108-88-3</t>
        </is>
      </c>
      <c r="C21" t="n">
        <v>0.05</v>
      </c>
      <c r="D21" t="n">
        <v>1</v>
      </c>
      <c r="E21">
        <f>IF(OR(C21="",D21=""),"",C21/D21)</f>
        <v/>
      </c>
      <c r="F21" t="b">
        <v>0</v>
      </c>
      <c r="G21" t="inlineStr">
        <is>
          <t>Rough estimate based on general market knowledge, not a live supplier lookup - please confirm against your actual supplier/contract price.</t>
        </is>
      </c>
    </row>
  </sheetData>
  <conditionalFormatting sqref="F2:F2000">
    <cfRule type="cellIs" priority="1" operator="equal" dxfId="0">
      <formula>FALSE</formula>
    </cfRule>
    <cfRule type="cellIs" priority="2" operator="equal" dxfId="1">
      <formula>TRUE</formula>
    </cfRule>
  </conditionalFormatting>
  <dataValidations count="1">
    <dataValidation sqref="F2:F2000" showDropDown="0" showInputMessage="0" showErrorMessage="0" allowBlank="1" errorTitle="Invalid Entry" error="Please select TRUE or 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3" t="inlineStr">
        <is>
          <t>Process_Type</t>
        </is>
      </c>
      <c r="B1" s="3" t="inlineStr">
        <is>
          <t>Step_Label</t>
        </is>
      </c>
      <c r="C1" s="3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4" customWidth="1" min="3" max="3"/>
  </cols>
  <sheetData>
    <row r="1">
      <c r="A1" s="3" t="inlineStr">
        <is>
          <t>Role</t>
        </is>
      </c>
      <c r="B1" s="3" t="inlineStr">
        <is>
          <t>Hourly_Rate_Est</t>
        </is>
      </c>
      <c r="C1" s="3" t="inlineStr">
        <is>
          <t>Verified</t>
        </is>
      </c>
    </row>
    <row r="2">
      <c r="A2" t="inlineStr">
        <is>
          <t>PhD Researcher</t>
        </is>
      </c>
      <c r="C2" t="b">
        <v>0</v>
      </c>
    </row>
    <row r="3">
      <c r="A3" t="inlineStr">
        <is>
          <t>Postdoc</t>
        </is>
      </c>
      <c r="C3" t="b">
        <v>0</v>
      </c>
    </row>
    <row r="4">
      <c r="A4" t="inlineStr">
        <is>
          <t>Engineer</t>
        </is>
      </c>
      <c r="C4" t="b">
        <v>0</v>
      </c>
    </row>
    <row r="5">
      <c r="A5" t="inlineStr">
        <is>
          <t>HiWi</t>
        </is>
      </c>
      <c r="C5" t="b">
        <v>0</v>
      </c>
    </row>
  </sheetData>
  <conditionalFormatting sqref="C2:C2000">
    <cfRule type="cellIs" priority="1" operator="equal" dxfId="0">
      <formula>FALSE</formula>
    </cfRule>
    <cfRule type="cellIs" priority="2" operator="equal" dxfId="1">
      <formula>TRUE</formula>
    </cfRule>
  </conditionalFormatting>
  <dataValidations count="1">
    <dataValidation sqref="C2:C2000" showDropDown="0" showInputMessage="0" showErrorMessage="0" allowBlank="1" errorTitle="Invalid Entry" error="Please select TRUE or FALSE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Item</t>
        </is>
      </c>
      <c r="B1" s="3" t="inlineStr">
        <is>
          <t>Location</t>
        </is>
      </c>
      <c r="C1" s="3" t="inlineStr">
        <is>
          <t>Category</t>
        </is>
      </c>
      <c r="D1" s="3" t="inlineStr">
        <is>
          <t>Allocation_Method</t>
        </is>
      </c>
      <c r="E1" s="3" t="inlineStr">
        <is>
          <t>Cost_Low</t>
        </is>
      </c>
      <c r="F1" s="3" t="inlineStr">
        <is>
          <t>Cost_Est</t>
        </is>
      </c>
      <c r="G1" s="3" t="inlineStr">
        <is>
          <t>Cost_High</t>
        </is>
      </c>
      <c r="H1" s="3" t="inlineStr">
        <is>
          <t>Verified</t>
        </is>
      </c>
      <c r="I1" s="3" t="inlineStr">
        <is>
          <t>Notes</t>
        </is>
      </c>
    </row>
    <row r="2">
      <c r="A2" t="inlineStr">
        <is>
          <t>Cleanroom / lab rent</t>
        </is>
      </c>
      <c r="B2" t="inlineStr"/>
      <c r="C2" t="inlineStr">
        <is>
          <t>Overhead</t>
        </is>
      </c>
      <c r="D2" t="inlineStr">
        <is>
          <t>per hour</t>
        </is>
      </c>
      <c r="H2" t="b">
        <v>0</v>
      </c>
    </row>
    <row r="3">
      <c r="A3" t="inlineStr">
        <is>
          <t>Equipment depreciation - HyWeighBox</t>
        </is>
      </c>
      <c r="B3" t="inlineStr">
        <is>
          <t>HyWeighBox</t>
        </is>
      </c>
      <c r="C3" t="inlineStr">
        <is>
          <t>Capital</t>
        </is>
      </c>
      <c r="D3" t="inlineStr">
        <is>
          <t>per batch</t>
        </is>
      </c>
      <c r="H3" t="b">
        <v>0</v>
      </c>
    </row>
    <row r="4">
      <c r="A4" t="inlineStr">
        <is>
          <t>Equipment depreciation - HySolveBox</t>
        </is>
      </c>
      <c r="B4" t="inlineStr">
        <is>
          <t>HySolveBox</t>
        </is>
      </c>
      <c r="C4" t="inlineStr">
        <is>
          <t>Capital</t>
        </is>
      </c>
      <c r="D4" t="inlineStr">
        <is>
          <t>per batch</t>
        </is>
      </c>
      <c r="H4" t="b">
        <v>0</v>
      </c>
    </row>
    <row r="5">
      <c r="A5" t="inlineStr">
        <is>
          <t>Equipment depreciation - HySpinBox</t>
        </is>
      </c>
      <c r="B5" t="inlineStr">
        <is>
          <t>HySpinBox</t>
        </is>
      </c>
      <c r="C5" t="inlineStr">
        <is>
          <t>Capital</t>
        </is>
      </c>
      <c r="D5" t="inlineStr">
        <is>
          <t>per batch</t>
        </is>
      </c>
      <c r="H5" t="b">
        <v>0</v>
      </c>
    </row>
    <row r="6">
      <c r="A6" t="inlineStr">
        <is>
          <t>Equipment depreciation - HyPeroSpinBox</t>
        </is>
      </c>
      <c r="B6" t="inlineStr">
        <is>
          <t>HyPeroSpinBox</t>
        </is>
      </c>
      <c r="C6" t="inlineStr">
        <is>
          <t>Capital</t>
        </is>
      </c>
      <c r="D6" t="inlineStr">
        <is>
          <t>per batch</t>
        </is>
      </c>
      <c r="H6" t="b">
        <v>0</v>
      </c>
    </row>
    <row r="7">
      <c r="A7" t="inlineStr">
        <is>
          <t>Equipment depreciation - HyALDBox</t>
        </is>
      </c>
      <c r="B7" t="inlineStr">
        <is>
          <t>HyALDBox</t>
        </is>
      </c>
      <c r="C7" t="inlineStr">
        <is>
          <t>Capital</t>
        </is>
      </c>
      <c r="D7" t="inlineStr">
        <is>
          <t>per batch</t>
        </is>
      </c>
      <c r="H7" t="b">
        <v>0</v>
      </c>
    </row>
    <row r="8">
      <c r="A8" t="inlineStr">
        <is>
          <t>Equipment depreciation - HyVapBox</t>
        </is>
      </c>
      <c r="B8" t="inlineStr">
        <is>
          <t>HyVapBox</t>
        </is>
      </c>
      <c r="C8" t="inlineStr">
        <is>
          <t>Capital</t>
        </is>
      </c>
      <c r="D8" t="inlineStr">
        <is>
          <t>per batch</t>
        </is>
      </c>
      <c r="H8" t="b">
        <v>0</v>
      </c>
    </row>
    <row r="9">
      <c r="A9" t="inlineStr">
        <is>
          <t>Equipment depreciation - HyPeroVapBox</t>
        </is>
      </c>
      <c r="B9" t="inlineStr">
        <is>
          <t>HyPeroVapBox</t>
        </is>
      </c>
      <c r="C9" t="inlineStr">
        <is>
          <t>Capital</t>
        </is>
      </c>
      <c r="D9" t="inlineStr">
        <is>
          <t>per batch</t>
        </is>
      </c>
      <c r="H9" t="b">
        <v>0</v>
      </c>
    </row>
    <row r="10">
      <c r="A10" t="inlineStr">
        <is>
          <t>Equipment depreciation - HyMessBox</t>
        </is>
      </c>
      <c r="B10" t="inlineStr">
        <is>
          <t>HyMessBox</t>
        </is>
      </c>
      <c r="C10" t="inlineStr">
        <is>
          <t>Capital</t>
        </is>
      </c>
      <c r="D10" t="inlineStr">
        <is>
          <t>per batch</t>
        </is>
      </c>
      <c r="H10" t="b">
        <v>0</v>
      </c>
    </row>
    <row r="11">
      <c r="A11" t="inlineStr">
        <is>
          <t>Equipment depreciation - HySnPbBox</t>
        </is>
      </c>
      <c r="B11" t="inlineStr">
        <is>
          <t>HySnPbBox</t>
        </is>
      </c>
      <c r="C11" t="inlineStr">
        <is>
          <t>Capital</t>
        </is>
      </c>
      <c r="D11" t="inlineStr">
        <is>
          <t>per batch</t>
        </is>
      </c>
      <c r="H11" t="b">
        <v>0</v>
      </c>
    </row>
    <row r="12">
      <c r="A12" t="inlineStr">
        <is>
          <t>Equipment depreciation - ProtoSolveBox</t>
        </is>
      </c>
      <c r="B12" t="inlineStr">
        <is>
          <t>ProtoSolveBox</t>
        </is>
      </c>
      <c r="C12" t="inlineStr">
        <is>
          <t>Capital</t>
        </is>
      </c>
      <c r="D12" t="inlineStr">
        <is>
          <t>per batch</t>
        </is>
      </c>
      <c r="H12" t="b">
        <v>0</v>
      </c>
    </row>
    <row r="13">
      <c r="A13" t="inlineStr">
        <is>
          <t>Equipment depreciation - ProtoVapBox</t>
        </is>
      </c>
      <c r="B13" t="inlineStr">
        <is>
          <t>ProtoVapBox</t>
        </is>
      </c>
      <c r="C13" t="inlineStr">
        <is>
          <t>Capital</t>
        </is>
      </c>
      <c r="D13" t="inlineStr">
        <is>
          <t>per batch</t>
        </is>
      </c>
      <c r="H13" t="b">
        <v>0</v>
      </c>
    </row>
    <row r="14">
      <c r="A14" t="inlineStr">
        <is>
          <t>Equipment depreciation - TinSpinBox</t>
        </is>
      </c>
      <c r="B14" t="inlineStr">
        <is>
          <t>TinSpinBox</t>
        </is>
      </c>
      <c r="C14" t="inlineStr">
        <is>
          <t>Capital</t>
        </is>
      </c>
      <c r="D14" t="inlineStr">
        <is>
          <t>per batch</t>
        </is>
      </c>
      <c r="H14" t="b">
        <v>0</v>
      </c>
    </row>
    <row r="15">
      <c r="A15" t="inlineStr">
        <is>
          <t>Equipment depreciation - TinVapBox</t>
        </is>
      </c>
      <c r="B15" t="inlineStr">
        <is>
          <t>TinVapBox</t>
        </is>
      </c>
      <c r="C15" t="inlineStr">
        <is>
          <t>Capital</t>
        </is>
      </c>
      <c r="D15" t="inlineStr">
        <is>
          <t>per batch</t>
        </is>
      </c>
      <c r="H15" t="b">
        <v>0</v>
      </c>
    </row>
    <row r="16">
      <c r="A16" t="inlineStr">
        <is>
          <t>Equipment depreciation - TinHallBox</t>
        </is>
      </c>
      <c r="B16" t="inlineStr">
        <is>
          <t>TinHallBox</t>
        </is>
      </c>
      <c r="C16" t="inlineStr">
        <is>
          <t>Capital</t>
        </is>
      </c>
      <c r="D16" t="inlineStr">
        <is>
          <t>per batch</t>
        </is>
      </c>
      <c r="H16" t="b">
        <v>0</v>
      </c>
    </row>
    <row r="17">
      <c r="A17" t="inlineStr">
        <is>
          <t>Equipment depreciation - InkCoatBox</t>
        </is>
      </c>
      <c r="B17" t="inlineStr">
        <is>
          <t>InkCoatBox</t>
        </is>
      </c>
      <c r="C17" t="inlineStr">
        <is>
          <t>Capital</t>
        </is>
      </c>
      <c r="D17" t="inlineStr">
        <is>
          <t>per batch</t>
        </is>
      </c>
      <c r="H17" t="b">
        <v>0</v>
      </c>
    </row>
    <row r="18">
      <c r="A18" t="inlineStr">
        <is>
          <t>Equipment depreciation - InkRollBox</t>
        </is>
      </c>
      <c r="B18" t="inlineStr">
        <is>
          <t>InkRollBox</t>
        </is>
      </c>
      <c r="C18" t="inlineStr">
        <is>
          <t>Capital</t>
        </is>
      </c>
      <c r="D18" t="inlineStr">
        <is>
          <t>per batch</t>
        </is>
      </c>
      <c r="H18" t="b">
        <v>0</v>
      </c>
    </row>
    <row r="19">
      <c r="A19" t="inlineStr">
        <is>
          <t>Equipment depreciation - InkVapBox</t>
        </is>
      </c>
      <c r="B19" t="inlineStr">
        <is>
          <t>InkVapBox</t>
        </is>
      </c>
      <c r="C19" t="inlineStr">
        <is>
          <t>Capital</t>
        </is>
      </c>
      <c r="D19" t="inlineStr">
        <is>
          <t>per batch</t>
        </is>
      </c>
      <c r="H19" t="b">
        <v>0</v>
      </c>
    </row>
    <row r="20">
      <c r="A20" t="inlineStr">
        <is>
          <t>Equipment depreciation - InkPatternBox</t>
        </is>
      </c>
      <c r="B20" t="inlineStr">
        <is>
          <t>InkPatternBox</t>
        </is>
      </c>
      <c r="C20" t="inlineStr">
        <is>
          <t>Capital</t>
        </is>
      </c>
      <c r="D20" t="inlineStr">
        <is>
          <t>per batch</t>
        </is>
      </c>
      <c r="H20" t="b">
        <v>0</v>
      </c>
    </row>
  </sheetData>
  <conditionalFormatting sqref="H2:H2000">
    <cfRule type="cellIs" priority="1" operator="equal" dxfId="0">
      <formula>FALSE</formula>
    </cfRule>
    <cfRule type="cellIs" priority="2" operator="equal" dxfId="1">
      <formula>TRUE</formula>
    </cfRule>
  </conditionalFormatting>
  <dataValidations count="4">
    <dataValidation sqref="C2:C2000" showDropDown="0" showInputMessage="0" showErrorMessage="0" allowBlank="1" errorTitle="Invalid Entry" error="Please select from the dropdown list" type="list">
      <formula1>"Capital,Maintenance,Overhead,End-of-Life"</formula1>
    </dataValidation>
    <dataValidation sqref="D2:D2000" showDropDown="0" showInputMessage="0" showErrorMessage="0" allowBlank="1" errorTitle="Invalid Entry" error="Please select from the dropdown list" type="list">
      <formula1>"per batch,per sample,per hour"</formula1>
    </dataValidation>
    <dataValidation sqref="B2:B2000" showDropDown="0" showInputMessage="0" showErrorMessage="0" allowBlank="1" errorTitle="Invalid Entry" error="Please select from the dropdown list" type="list">
      <formula1>"HyWeighBox,HySolveBox,HySpinBox,HyPeroSpinBox,HyALDBox,HyVapBox,HyPeroVapBox,HyMessBox,HySnPbBox,ProtoSolveBox,ProtoVapBox,TinSpinBox,TinVapBox,TinHallBox,InkCoatBox,InkRollBox,InkVapBox,InkPatternBox,"</formula1>
    </dataValidation>
    <dataValidation sqref="H2:H2000" showDropDown="0" showInputMessage="0" showErrorMessage="0" allowBlank="1" errorTitle="Invalid Entry" error="Please select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2026-08-04T09:39:05Z</dcterms:created>
  <dcterms:modified xsi:type="dcterms:W3CDTF">2026-08-04T09:39:05Z</dcterms:modified>
</cp:coreProperties>
</file>